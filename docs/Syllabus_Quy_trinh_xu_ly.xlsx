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83E6DA14-B62D-40A9-A08B-74EE80F30655}" xr6:coauthVersionLast="47" xr6:coauthVersionMax="47" xr10:uidLastSave="{00000000-0000-0000-0000-000000000000}"/>
  <bookViews>
    <workbookView xWindow="-110" yWindow="-110" windowWidth="19420" windowHeight="10300" tabRatio="500" xr2:uid="{00000000-000D-0000-FFFF-FFFF00000000}"/>
  </bookViews>
  <sheets>
    <sheet name="1. Syllabus mẫu" sheetId="1" r:id="rId1"/>
    <sheet name="2. Chia chặng &amp; Test" sheetId="2" r:id="rId2"/>
    <sheet name="3. Quy trình xử lý" sheetId="3" r:id="rId3"/>
    <sheet name="4. Câu hỏi cần làm rõ" sheetId="4" r:id="rId4"/>
  </sheets>
  <definedNames>
    <definedName name="_xlnm.Print_Titles" localSheetId="0">'1. Syllabus mẫu'!$9:$10</definedName>
  </definedName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28" i="2" l="1"/>
  <c r="D28" i="2"/>
  <c r="C28" i="2"/>
  <c r="F28" i="2" s="1"/>
  <c r="G28" i="2" s="1"/>
  <c r="B28" i="2"/>
  <c r="E27" i="2"/>
  <c r="D27" i="2"/>
  <c r="C27" i="2"/>
  <c r="F27" i="2" s="1"/>
  <c r="G27" i="2" s="1"/>
  <c r="B27" i="2"/>
  <c r="E26" i="2"/>
  <c r="D26" i="2"/>
  <c r="C26" i="2"/>
  <c r="F26" i="2" s="1"/>
  <c r="G26" i="2" s="1"/>
  <c r="B26" i="2"/>
  <c r="J22" i="2"/>
  <c r="J21" i="2"/>
  <c r="J20" i="2"/>
  <c r="J19" i="2"/>
  <c r="J18" i="2"/>
  <c r="J17" i="2"/>
  <c r="J16" i="2"/>
  <c r="J15" i="2"/>
  <c r="J14" i="2"/>
  <c r="J13" i="2"/>
  <c r="J12" i="2"/>
  <c r="J11" i="2"/>
  <c r="J10" i="2"/>
  <c r="J9" i="2"/>
  <c r="J8" i="2"/>
  <c r="J7" i="2"/>
  <c r="B18" i="1"/>
  <c r="B19" i="1" s="1"/>
  <c r="B20" i="1" s="1"/>
  <c r="B21" i="1" s="1"/>
  <c r="B22" i="1" s="1"/>
  <c r="B23" i="1" s="1"/>
  <c r="B24" i="1" s="1"/>
  <c r="B25" i="1" s="1"/>
  <c r="B26" i="1" s="1"/>
  <c r="B27" i="1" s="1"/>
  <c r="B28" i="1" s="1"/>
  <c r="B29" i="1" s="1"/>
  <c r="B30" i="1" s="1"/>
  <c r="B31" i="1" s="1"/>
  <c r="B32" i="1" s="1"/>
  <c r="B33" i="1" s="1"/>
  <c r="B34" i="1" s="1"/>
  <c r="B35" i="1" s="1"/>
  <c r="B36" i="1" s="1"/>
  <c r="B37" i="1" s="1"/>
  <c r="B38" i="1" s="1"/>
  <c r="B39" i="1" s="1"/>
  <c r="B40" i="1" s="1"/>
  <c r="B41" i="1" s="1"/>
  <c r="B42" i="1" s="1"/>
  <c r="B43" i="1" s="1"/>
  <c r="B44" i="1" s="1"/>
  <c r="B45" i="1" s="1"/>
  <c r="B46" i="1" s="1"/>
  <c r="B47" i="1" s="1"/>
  <c r="B48" i="1" s="1"/>
  <c r="B49" i="1" s="1"/>
  <c r="B50" i="1" s="1"/>
  <c r="B1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G9" authorId="0" shapeId="0" xr:uid="{00000000-0006-0000-0000-000001000000}">
      <text>
        <r>
          <rPr>
            <sz val="10"/>
            <rFont val="Arial"/>
            <family val="2"/>
          </rPr>
          <t>Quy trình chung áp dụng cho mọi tiết; học thuật có thể sửa riêng cho từng tiết nếu cần.</t>
        </r>
      </text>
    </comment>
    <comment ref="P9" authorId="0" shapeId="0" xr:uid="{00000000-0006-0000-0000-000002000000}">
      <text>
        <r>
          <rPr>
            <sz val="10"/>
            <rFont val="Arial"/>
            <family val="2"/>
          </rPr>
          <t>Đánh dấu buổi hệ thống sẽ gửi thông báo cho Học thuật. Mặc định: cách buổi cuối chặng 6 buổi.</t>
        </r>
      </text>
    </comment>
  </commentList>
</comments>
</file>

<file path=xl/sharedStrings.xml><?xml version="1.0" encoding="utf-8"?>
<sst xmlns="http://schemas.openxmlformats.org/spreadsheetml/2006/main" count="365" uniqueCount="289">
  <si>
    <t>SYLLABUS MẪU – FORM CHUẨN CỦA HỌC THUẬT</t>
  </si>
  <si>
    <t>Mỗi file/sheet = 1 chặng của 1 giáo trình. Học thuật upload riêng từng chặng. Các ô nền vàng là ô cần điền; các dòng nền xám là VÍ DỤ, xoá đi khi dùng thật.</t>
  </si>
  <si>
    <t>Chương trình / Giáo trình:</t>
  </si>
  <si>
    <t>Global Success 6 (ví dụ)</t>
  </si>
  <si>
    <t>CHÚ THÍCH</t>
  </si>
  <si>
    <t>Chặng:</t>
  </si>
  <si>
    <t>Chặng 1 – Unit 1 → Unit 3</t>
  </si>
  <si>
    <t>Ô cần học thuật điền</t>
  </si>
  <si>
    <t>Người soạn (Học thuật):</t>
  </si>
  <si>
    <t>Dòng ví dụ – xoá khi dùng thật</t>
  </si>
  <si>
    <t>Phiên bản / Ngày cập nhật:</t>
  </si>
  <si>
    <t>v1.0 – __/__/2026</t>
  </si>
  <si>
    <t>Buổi kiểm tra (Mini test / Big test)</t>
  </si>
  <si>
    <t>Người duyệt (Quản lý):</t>
  </si>
  <si>
    <t>Dòng có đánh dấu mốc thông báo</t>
  </si>
  <si>
    <t>Chặng</t>
  </si>
  <si>
    <t>Buổi / Lesson</t>
  </si>
  <si>
    <t>Loại buổi</t>
  </si>
  <si>
    <t>UNIT</t>
  </si>
  <si>
    <t>Objectives của UNIT</t>
  </si>
  <si>
    <t>Content (nội dung từng tiết)</t>
  </si>
  <si>
    <t>Quy trình tiết học chung</t>
  </si>
  <si>
    <t>HOẠT ĐỘNG GỢI Ý (tối đa 2 HĐ/lesson)</t>
  </si>
  <si>
    <t>HOMEWORK (HS nộp đúng giỏ theo loại để thống kê)</t>
  </si>
  <si>
    <t>Link PPT</t>
  </si>
  <si>
    <t>Link Quizizz</t>
  </si>
  <si>
    <t>Sản phẩm đầu ra</t>
  </si>
  <si>
    <t>Mốc thông báo</t>
  </si>
  <si>
    <t>Chỉnh sửa thủ công</t>
  </si>
  <si>
    <t>Ghi chú</t>
  </si>
  <si>
    <t>Hoạt động gợi ý 1</t>
  </si>
  <si>
    <t>Hoạt động gợi ý 2</t>
  </si>
  <si>
    <t>Bài tập giấy</t>
  </si>
  <si>
    <t>Bài tập Quizizz</t>
  </si>
  <si>
    <t>Bài tập Video</t>
  </si>
  <si>
    <t>Chặng 1</t>
  </si>
  <si>
    <t>Học</t>
  </si>
  <si>
    <t>Unit 1: My New School</t>
  </si>
  <si>
    <t>Sau Unit 1, HS có thể:
- Dùng từ vựng về trường học, môn học, đồ dùng học tập
- Phát âm đúng /ɑː/ và /ʌ/
- Dùng thì hiện tại đơn &amp; trạng từ tần suất
- Giới thiệu về ngôi trường của mình</t>
  </si>
  <si>
    <t>Getting started: hội thoại ngày đầu đi học; từ vựng môn học &amp; đồ dùng</t>
  </si>
  <si>
    <t>1. Warm-up (5’)
2. Presentation (10’)
3. Practice (15’)
4. Production (10’)
5. Wrap-up &amp; giao BTVN (5’)</t>
  </si>
  <si>
    <t>Game “Slap the board” ôn từ vựng đồ dùng học tập</t>
  </si>
  <si>
    <t>Role-play hội thoại ngày đầu đến trường</t>
  </si>
  <si>
    <t>Workbook trang 4 – bài 1, 2</t>
  </si>
  <si>
    <t>Quizizz Vocab U1 – L1</t>
  </si>
  <si>
    <t>Quay video giới thiệu cặp sách (30 giây)</t>
  </si>
  <si>
    <t>link PPT</t>
  </si>
  <si>
    <t>link Quizizz</t>
  </si>
  <si>
    <t>HS nêu tên được 10 môn học / đồ dùng</t>
  </si>
  <si>
    <t>Không</t>
  </si>
  <si>
    <t>A closer look 1: từ vựng &amp; phát âm /ɑː/ – /ʌ/</t>
  </si>
  <si>
    <t>Minimal pairs: nghe – giơ thẻ /ɑː/ hoặc /ʌ/</t>
  </si>
  <si>
    <t>Tongue twister theo nhóm</t>
  </si>
  <si>
    <t>Workbook trang 5</t>
  </si>
  <si>
    <t>Quizizz Pronunciation U1</t>
  </si>
  <si>
    <t>Video đọc tongue twister</t>
  </si>
  <si>
    <t>HS phân biệt được 2 âm</t>
  </si>
  <si>
    <t>A closer look 2: Present simple &amp; adverbs of frequency</t>
  </si>
  <si>
    <t>Find someone who… (khảo sát thói quen)</t>
  </si>
  <si>
    <t>Viết 5 câu về thói quen của bản thân</t>
  </si>
  <si>
    <t>Phiếu ngữ pháp HTĐ</t>
  </si>
  <si>
    <t>Quizizz Grammar U1</t>
  </si>
  <si>
    <t>5 câu đúng ngữ pháp về thói quen</t>
  </si>
  <si>
    <t>Communication + Skills 1: đọc hiểu về các ngôi trường</t>
  </si>
  <si>
    <t>Jigsaw reading theo nhóm</t>
  </si>
  <si>
    <t>Hỏi – đáp về trường của bạn</t>
  </si>
  <si>
    <t>Bài đọc hiểu SBT</t>
  </si>
  <si>
    <t>Video thuyết trình 1 phút “My school”</t>
  </si>
  <si>
    <t>Dàn ý bài nói “My school”</t>
  </si>
  <si>
    <t>Skills 2 + Looking back + Project: My dream school</t>
  </si>
  <si>
    <t>Gallery walk sản phẩm project</t>
  </si>
  <si>
    <t>Tổng kết Unit bằng sơ đồ tư duy</t>
  </si>
  <si>
    <t>Ôn tập Unit 1</t>
  </si>
  <si>
    <t>Quizizz Review U1</t>
  </si>
  <si>
    <t>Poster “My dream school”</t>
  </si>
  <si>
    <t>Mini test</t>
  </si>
  <si>
    <t>MINI TEST UNIT 1 (30–45’) + chữa bài</t>
  </si>
  <si>
    <t>link đề</t>
  </si>
  <si>
    <t>link Quizizz (nếu test online)</t>
  </si>
  <si>
    <t>Điểm mini test Unit 1</t>
  </si>
  <si>
    <t>Order in ấn mini test</t>
  </si>
  <si>
    <t>Order in đề trước ít nhất 3 buổi</t>
  </si>
  <si>
    <t>CHIA CHẶNG &amp; LỊCH KIỂM TRA</t>
  </si>
  <si>
    <t>Mỗi Unit có 1 Mini test; cuối mỗi chặng có 1 Big test. Cột “Tổng tiết” và bảng tổng hợp tự tính. Ô nền vàng là ô nhập.</t>
  </si>
  <si>
    <t>Giáo trình:</t>
  </si>
  <si>
    <t>Báo trước:</t>
  </si>
  <si>
    <t>buổi (số buổi trước buổi cuối chặng để hệ thống báo Học thuật)</t>
  </si>
  <si>
    <t>Tên chặng</t>
  </si>
  <si>
    <t>Unit</t>
  </si>
  <si>
    <t>Nội dung Unit</t>
  </si>
  <si>
    <t>Số tiết học dự kiến</t>
  </si>
  <si>
    <t>Số tiết Mini test</t>
  </si>
  <si>
    <t>Big test</t>
  </si>
  <si>
    <t>Số tiết Big test</t>
  </si>
  <si>
    <t>Tổng tiết</t>
  </si>
  <si>
    <t>Chặng 1: Unit 1 – 3</t>
  </si>
  <si>
    <t>Từ vựng trường học; /ɑː/ – /ʌ/; HTĐ &amp; trạng từ tần suất</t>
  </si>
  <si>
    <t>Mini test Unit 1</t>
  </si>
  <si>
    <t>Unit 2: My House</t>
  </si>
  <si>
    <t>Từ vựng nhà cửa, đồ đạc; /s/ – /z/; There is/are; giới từ chỉ nơi chốn</t>
  </si>
  <si>
    <t>Mini test Unit 2</t>
  </si>
  <si>
    <t>Unit 3: My Friends</t>
  </si>
  <si>
    <t>Tính từ miêu tả người; /b/ – /p/; HTTD cho kế hoạch tương lai</t>
  </si>
  <si>
    <t>Mini test Unit 3</t>
  </si>
  <si>
    <t>BIG TEST CHẶNG 1</t>
  </si>
  <si>
    <t>Tổng hợp kiến thức Unit 1 – 3</t>
  </si>
  <si>
    <t>Big test Chặng 1 (60’) + chữa bài</t>
  </si>
  <si>
    <t>Order in đề trước ≥ 3 buổi</t>
  </si>
  <si>
    <t>Chặng 2</t>
  </si>
  <si>
    <t>Chặng 2: Unit 4 – 6</t>
  </si>
  <si>
    <t>Unit 4: My Neighbourhood</t>
  </si>
  <si>
    <t>Địa điểm trong khu phố; so sánh hơn của tính từ</t>
  </si>
  <si>
    <t>Mini test Unit 4</t>
  </si>
  <si>
    <t>Unit 5: Natural Wonders of Viet Nam</t>
  </si>
  <si>
    <t>Kỳ quan thiên nhiên; must / mustn’t; danh từ đếm được – không đếm được</t>
  </si>
  <si>
    <t>Mini test Unit 5</t>
  </si>
  <si>
    <t>Unit 6: Our Tet Holiday</t>
  </si>
  <si>
    <t>Phong tục Tết; should / shouldn’t; some / any</t>
  </si>
  <si>
    <t>Mini test Unit 6</t>
  </si>
  <si>
    <t>BIG TEST CHẶNG 2</t>
  </si>
  <si>
    <t>Tổng hợp kiến thức Unit 4 – 6</t>
  </si>
  <si>
    <t>Big test Chặng 2 (60’) + chữa bài</t>
  </si>
  <si>
    <t>TỔNG HỢP THEO CHẶNG (tự tính)</t>
  </si>
  <si>
    <t>Số Unit</t>
  </si>
  <si>
    <t>Tiết học</t>
  </si>
  <si>
    <t>Số Mini test</t>
  </si>
  <si>
    <t>Tiết kiểm tra</t>
  </si>
  <si>
    <t>Tổng số buổi</t>
  </si>
  <si>
    <t>Buổi hệ thống báo Học thuật</t>
  </si>
  <si>
    <t>Chặng 3</t>
  </si>
  <si>
    <t>Ghi chú: “Buổi hệ thống báo Học thuật” = Tổng số buổi của chặng − số buổi báo trước (ô B4). Ví dụ chặng 20 buổi → báo ở buổi 14.</t>
  </si>
  <si>
    <t>QUY TRÌNH XỬ LÝ SYLLABUS</t>
  </si>
  <si>
    <t>Luồng từ khi Học thuật upload syllabus gốc đến khi lớp hoàn thành chặng. Cột cuối là đề xuất bổ sung (cần chốt).</t>
  </si>
  <si>
    <t>Bước</t>
  </si>
  <si>
    <t>Giai đoạn</t>
  </si>
  <si>
    <t>Người thực hiện</t>
  </si>
  <si>
    <t>Hành động</t>
  </si>
  <si>
    <t>Hệ thống xử lý / Thông báo</t>
  </si>
  <si>
    <t>Kết quả đầu ra</t>
  </si>
  <si>
    <t>Ghi chú / Đề xuất bổ sung</t>
  </si>
  <si>
    <t>Chuẩn bị</t>
  </si>
  <si>
    <t>Học thuật</t>
  </si>
  <si>
    <t>Upload syllabus gốc theo từng chặng (theo form Sheet 1) vào Kho syllabus.</t>
  </si>
  <si>
    <t>Lưu vào “Kho syllabus” – tài nguyên riêng của trung tâm. Chỉ Học thuật &amp; Quản lý được xem/sửa.</t>
  </si>
  <si>
    <t>Syllabus gốc (theo chương trình → chặng)</t>
  </si>
  <si>
    <t>Đề xuất: lưu lịch sử phiên bản (v1, v2…) và người sửa.</t>
  </si>
  <si>
    <t>Khai báo chia chặng &amp; test (Sheet 2); đánh dấu các mốc thông báo trong syllabus (cột “Mốc thông báo”).</t>
  </si>
  <si>
    <t>Hệ thống tự tính tổng số buổi mỗi chặng và buổi kích hoạt thông báo (mặc định cách buổi cuối 6 buổi).</t>
  </si>
  <si>
    <t>Cấu hình chặng + mốc test</t>
  </si>
  <si>
    <t>Học thuật có thể đổi số buổi báo trước cho từng chặng.</t>
  </si>
  <si>
    <t>Giao syllabus</t>
  </si>
  <si>
    <t>Chọn chương trình → chặng → lớp → ngày bắt đầu.</t>
  </si>
  <si>
    <t>Hệ thống tạo BẢN SAO syllabus riêng cho lớp, xếp thành lịch theo buổi dựa vào lịch học của lớp.</t>
  </si>
  <si>
    <t>Syllabus của lớp (chạy theo buổi)</t>
  </si>
  <si>
    <t>Bản sao riêng → sửa cho lớp không ảnh hưởng bản gốc.</t>
  </si>
  <si>
    <t>Giáo viên</t>
  </si>
  <si>
    <t>Nhận thông báo “Bạn đã nhận syllabus mới – Lớp ABC – Chặng X” và bấm XÁC NHẬN.</t>
  </si>
  <si>
    <t>Ghi nhận thời điểm xác nhận. Nếu chưa xác nhận sau 24h → nhắc lại GV và báo Học thuật.</t>
  </si>
  <si>
    <t>Trạng thái: Đã xác nhận</t>
  </si>
  <si>
    <t>Đề xuất thời hạn nhắc: 24h (cần chốt).</t>
  </si>
  <si>
    <t>Chỉnh sửa</t>
  </si>
  <si>
    <t>Muốn sửa riêng cho 1 lớp: vào Thông tin lớp → Syllabus của lớp → chỉnh sửa thủ công.</t>
  </si>
  <si>
    <t>Chỉ thay đổi syllabus của lớp đó. Gửi thông báo “Syllabus lớp ABC đã được cập nhật” cho GV.</t>
  </si>
  <si>
    <t>Syllabus lớp đã chỉnh sửa (đánh dấu “Chỉnh sửa thủ công = Có”)</t>
  </si>
  <si>
    <t>Đề xuất: lưu lý do chỉnh sửa.</t>
  </si>
  <si>
    <t>Vận hành</t>
  </si>
  <si>
    <t>Theo dõi syllabus theo từng buổi trên màn hình GV; dạy và đánh dấu “Đã dạy” sau mỗi buổi.</t>
  </si>
  <si>
    <t>Hiển thị buổi hôm nay: content, quy trình, hoạt động, homework (3 giỏ), link PPT/Quizizz.</t>
  </si>
  <si>
    <t>Tiến độ lớp theo buổi</t>
  </si>
  <si>
    <t>Đề xuất: GV ghi chú khi dạy chậm/nhanh tiến độ.</t>
  </si>
  <si>
    <t>Góc màn hình luôn có nút ORDER → mở màn hình order in ấn, mini test, big test khi đến hạn.</t>
  </si>
  <si>
    <t>Nút ORDER sáng/nhấp nháy khi có mục đến hạn (theo mốc trong syllabus).</t>
  </si>
  <si>
    <t>Phiếu order gửi bộ phận in ấn</t>
  </si>
  <si>
    <t>Cần chốt: bộ phận nhận order và hạn order trước mấy buổi.</t>
  </si>
  <si>
    <t>Cảnh báo</t>
  </si>
  <si>
    <t>Hệ thống → Học thuật</t>
  </si>
  <si>
    <t>Khi lớp còn 6 buổi đến buổi cuối chặng (hoặc tới mốc đã đánh dấu).</t>
  </si>
  <si>
    <t>Gửi thông báo: “Chuẩn bị test chặng X – giáo trình Y và syllabus mới cho lớp ABC”, kèm nút NHẬN VIỆC.</t>
  </si>
  <si>
    <t>Thông báo chờ xử lý</t>
  </si>
  <si>
    <t>Công việc</t>
  </si>
  <si>
    <t>Bấm NHẬN VIỆC khi đọc thông báo.</t>
  </si>
  <si>
    <t>Chuyển việc vào mục “Công việc cần làm” (trạng thái: Mới → Đang làm), có hạn chót = ngày buổi cuối chặng.</t>
  </si>
  <si>
    <t>Danh sách việc cần làm, không bị sót</t>
  </si>
  <si>
    <t>Đề xuất: việc quá hạn hiện màu đỏ, nhắc lại hằng ngày.</t>
  </si>
  <si>
    <t>Hoàn thành</t>
  </si>
  <si>
    <t>Làm xong việc → bấm HOÀN THÀNH để kết thúc tác vụ.</t>
  </si>
  <si>
    <t>Ghi nhận ngày hoàn thành; tự động đưa vào Báo cáo tuần của Học thuật.</t>
  </si>
  <si>
    <t>Báo cáo tuần</t>
  </si>
  <si>
    <t>Chuyển chặng</t>
  </si>
  <si>
    <t>Giao syllabus chặng tiếp theo cho lớp (quay lại bước 3).</t>
  </si>
  <si>
    <t>Lớp chuyển sang chặng mới; GV nhận thông báo và xác nhận như bước 4.</t>
  </si>
  <si>
    <t>Lớp chạy chặng tiếp theo</t>
  </si>
  <si>
    <t>TÍNH NĂNG THEO VAI TRÒ</t>
  </si>
  <si>
    <t>Vai trò</t>
  </si>
  <si>
    <t>Màn hình / Tính năng</t>
  </si>
  <si>
    <t>Mô tả</t>
  </si>
  <si>
    <t>Kho syllabus</t>
  </si>
  <si>
    <t>Upload, xem, sửa syllabus gốc theo chương trình → chặng.</t>
  </si>
  <si>
    <t>Chọn lớp + ngày bắt đầu để giao chặng.</t>
  </si>
  <si>
    <t>Thông tin lớp</t>
  </si>
  <si>
    <t>Xem &amp; chỉnh sửa thủ công syllabus riêng của lớp.</t>
  </si>
  <si>
    <t>Thông báo</t>
  </si>
  <si>
    <t>Nhận báo chuẩn bị test / syllabus mới; nút NHẬN VIỆC.</t>
  </si>
  <si>
    <t>Công việc cần làm</t>
  </si>
  <si>
    <t>Danh sách việc theo trạng thái Mới / Đang làm / Hoàn thành / Quá hạn.</t>
  </si>
  <si>
    <t>Tự tổng hợp các việc đã hoàn thành trong tuần.</t>
  </si>
  <si>
    <t>Syllabus theo buổi</t>
  </si>
  <si>
    <t>Xem nội dung từng buổi, đánh dấu đã dạy.</t>
  </si>
  <si>
    <t>Nhận syllabus mới / cập nhật, bấm XÁC NHẬN.</t>
  </si>
  <si>
    <t>Nút ORDER</t>
  </si>
  <si>
    <t>Order in ấn, mini test, big test khi đến hạn.</t>
  </si>
  <si>
    <t>Homework 3 giỏ</t>
  </si>
  <si>
    <t>Theo dõi bài nộp: Bài tập giấy / Quizizz / Video.</t>
  </si>
  <si>
    <t>Quản lý</t>
  </si>
  <si>
    <t>Kho syllabus &amp; Báo cáo</t>
  </si>
  <si>
    <t>Xem, sửa syllabus gốc; xem báo cáo tuần của Học thuật.</t>
  </si>
  <si>
    <t>QUY TẮC THÔNG BÁO</t>
  </si>
  <si>
    <t>Sự kiện</t>
  </si>
  <si>
    <t>Người nhận</t>
  </si>
  <si>
    <t>Thời điểm</t>
  </si>
  <si>
    <t>Nội dung mẫu</t>
  </si>
  <si>
    <t>Nút / Hành động</t>
  </si>
  <si>
    <t>Giao syllabus mới</t>
  </si>
  <si>
    <t>Ngay khi Học thuật giao</t>
  </si>
  <si>
    <t>Bạn đã nhận syllabus mới: Lớp ABC – Giáo trình Y – Chặng X, bắt đầu __/__.</t>
  </si>
  <si>
    <t>XÁC NHẬN</t>
  </si>
  <si>
    <t>Sửa syllabus lớp</t>
  </si>
  <si>
    <t>Ngay khi lưu chỉnh sửa</t>
  </si>
  <si>
    <t>Syllabus lớp ABC đã được cập nhật (buổi __).</t>
  </si>
  <si>
    <t>ĐÃ XEM</t>
  </si>
  <si>
    <t>GV chưa xác nhận</t>
  </si>
  <si>
    <t>GV + Học thuật</t>
  </si>
  <si>
    <t>Sau 24h (đề xuất)</t>
  </si>
  <si>
    <t>Lớp ABC chưa xác nhận syllabus chặng X.</t>
  </si>
  <si>
    <t>NHẮC LẠI</t>
  </si>
  <si>
    <t>Sắp hết chặng</t>
  </si>
  <si>
    <t>Còn 6 buổi đến buổi cuối chặng</t>
  </si>
  <si>
    <t>Chuẩn bị test chặng X – giáo trình Y và syllabus mới cho lớp ABC.</t>
  </si>
  <si>
    <t>NHẬN VIỆC</t>
  </si>
  <si>
    <t>Đến hạn order</t>
  </si>
  <si>
    <t>Theo mốc “Order in ấn” trong syllabus</t>
  </si>
  <si>
    <t>Đến hạn order in ấn mini test / big test lớp ABC.</t>
  </si>
  <si>
    <t>ORDER</t>
  </si>
  <si>
    <t>Việc quá hạn</t>
  </si>
  <si>
    <t>Học thuật + Quản lý</t>
  </si>
  <si>
    <t>Quá hạn chót</t>
  </si>
  <si>
    <t>Việc “…” của lớp ABC đã quá hạn.</t>
  </si>
  <si>
    <t>XỬ LÝ</t>
  </si>
  <si>
    <t>CÂU HỎI CẦN LÀM RÕ ĐỂ HOÀN THIỆN QUY TRÌNH</t>
  </si>
  <si>
    <t>Điền câu trả lời vào cột C; các mục đã chốt sẽ được cập nhật vào Sheet 1–3.</t>
  </si>
  <si>
    <t>STT</t>
  </si>
  <si>
    <t>Câu hỏi</t>
  </si>
  <si>
    <t>Trả lời / Quyết định</t>
  </si>
  <si>
    <t>Ảnh hưởng tới</t>
  </si>
  <si>
    <t>“Cách buổi cuối 6 buổi” tính theo buổi học thực tế của lớp hay theo số tiết trong syllabus? 1 buổi = 1 tiết hay 1 buổi có thể có 2 tiết?</t>
  </si>
  <si>
    <t>Sheet 2, bước 8</t>
  </si>
  <si>
    <t>Khi lớp nghỉ / học bù / dạy chậm tiến độ, syllabus có tự dời buổi không? Ai được phép dời (GV hay chỉ Học thuật)?</t>
  </si>
  <si>
    <t>Bước 6, 8</t>
  </si>
  <si>
    <t>Khi Học thuật sửa syllabus GỐC sau khi đã giao cho lớp, có cập nhật xuống các lớp đang chạy không, hay chỉ áp dụng cho lớp giao sau?</t>
  </si>
  <si>
    <t>Bước 1, 5</t>
  </si>
  <si>
    <t>GV không bấm xác nhận nhận syllabus thì sau bao lâu nhắc lại, và báo cho ai (Học thuật, Quản lý)?</t>
  </si>
  <si>
    <t>Bước 4</t>
  </si>
  <si>
    <t>Nút ORDER gửi tới bộ phận nào (in ấn, văn phòng)? Hạn order trước bao nhiêu buổi? Có cần duyệt order không?</t>
  </si>
  <si>
    <t>Bước 7</t>
  </si>
  <si>
    <t>Mini test làm trong 1 buổi riêng hay trong buổi cuối của Unit? Big test có tính là buổi học không?</t>
  </si>
  <si>
    <t>Sheet 1, 2</t>
  </si>
  <si>
    <t>Homework 3 giỏ: có cần hệ thống tự thống kê tỉ lệ nộp bài (giấy / Quizizz / video) cho từng HS, từng lớp không? GV nhập tay hay lấy tự động từ Quizizz?</t>
  </si>
  <si>
    <t>Sheet 1, bước 6</t>
  </si>
  <si>
    <t>GV có quyền đề xuất chỉnh sửa syllabus (gửi yêu cầu cho Học thuật) không?</t>
  </si>
  <si>
    <t>Bước 5</t>
  </si>
  <si>
    <t>Báo cáo tuần của Học thuật gồm những mục nào (số việc hoàn thành, việc quá hạn, lớp đã giao syllabus…)? Ai xem báo cáo?</t>
  </si>
  <si>
    <t>Bước 10</t>
  </si>
  <si>
    <t>Có nhiều Học thuật cùng phụ trách không? Việc được giao theo chương trình, theo cơ sở hay theo lớp?</t>
  </si>
  <si>
    <t>Bước 8, 9</t>
  </si>
  <si>
    <t>“Sản phẩm đầu ra” có cần GV upload minh chứng (ảnh, video) sau mỗi buổi không?</t>
  </si>
  <si>
    <t>Sheet 1</t>
  </si>
  <si>
    <t>Link PPT / Quizizz có cần phân quyền (chỉ GV được giao lớp mới mở được) không?</t>
  </si>
  <si>
    <t xml:space="preserve">Mặc định 1 lesson = 1 buổi nên sẽ thống báo khi còn 6 buổi trước big test </t>
  </si>
  <si>
    <t xml:space="preserve">Hệ thống phải tự link được báo cáo vận hành khi lớp cancel, khi giáo viên muốn thay đổi syllabus cần phần ấn Customize syllabus để xin dãn / dời và cần được sự chấp nhận của học thuật mới thay đổi được </t>
  </si>
  <si>
    <t xml:space="preserve">Nếu syllabus được chỉnh sửa trên bản gốc sẽ áp dụng cho tất cả các lớp đang chạy syllabus hiện hành, còn syllabus sửa riêng cho các lớp sẽ không link sang syllabus lớp khác </t>
  </si>
  <si>
    <t xml:space="preserve">Sau 24h tiếng sẽ thông báo lại 1 lần cho bộ phận học thuật và quản lí </t>
  </si>
  <si>
    <t xml:space="preserve">Trong phần oder sẽ có bộ phận đích để gv chuyển thông báo , in ấn sẽ chuyển về vận hành các cơ sở , order test sẽ gửi về học thuật . Hạn order học thuật phải xử lí trước ít nhất 3 buổi trước test </t>
  </si>
  <si>
    <t xml:space="preserve">Mini test sẽ làm ở buổi đầu tiên của Unit tiếp theo . Big Test là 1 buổi học riêng . Sẽ được up cụ thể trên syllabus </t>
  </si>
  <si>
    <t xml:space="preserve">có , hs sẽ up bài tập giấy = ảnh, bài tập video = video , và bt quizziz thống kê thì tùy chọn IT </t>
  </si>
  <si>
    <t xml:space="preserve">có , gv có quyền đề xuất chỉnh sửa, và khi học thuật chỉnh sửa syllabus giáo viên cần nhận được thông báo về việc syllabus đã chỉnh sửa </t>
  </si>
  <si>
    <t xml:space="preserve">Quản lí và chính người làm báo cáo có quyền xem và note </t>
  </si>
  <si>
    <t xml:space="preserve">Hiện tại bộ phận đang có 1 phần trách nhiệm, việc đc giao cứ xêm theo cơ sở  và theo lớp </t>
  </si>
  <si>
    <t xml:space="preserve">Cái này bộ phận vận hành sẽ kiểm soát . Sản phẩm đầu ra là điểm số cần được nhập vào bảng điểm ( mini test , big test) </t>
  </si>
  <si>
    <t xml:space="preserve">có , thông thường tài liệu syllabus giao theo chặng, học thuật sẽ cần mở quyền truy cập trên driver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</si>
</sst>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charset val="1"/>
    </font>
    <font>
      <b/>
      <sz val="15"/>
      <color rgb="FF1F3864"/>
      <name val="Arial"/>
      <charset val="1"/>
    </font>
    <font>
      <i/>
      <sz val="9"/>
      <color rgb="FF595959"/>
      <name val="Arial"/>
      <charset val="1"/>
    </font>
    <font>
      <b/>
      <sz val="10"/>
      <color rgb="FF000000"/>
      <name val="Arial"/>
      <charset val="1"/>
    </font>
    <font>
      <sz val="10"/>
      <color rgb="FF000000"/>
      <name val="Arial"/>
      <charset val="1"/>
    </font>
    <font>
      <b/>
      <sz val="10"/>
      <color rgb="FF1F3864"/>
      <name val="Arial"/>
      <charset val="1"/>
    </font>
    <font>
      <sz val="9"/>
      <color rgb="FF000000"/>
      <name val="Arial"/>
      <charset val="1"/>
    </font>
    <font>
      <b/>
      <sz val="10"/>
      <color rgb="FFFFFFFF"/>
      <name val="Arial"/>
      <charset val="1"/>
    </font>
    <font>
      <b/>
      <sz val="10"/>
      <name val="Arial"/>
      <charset val="1"/>
    </font>
    <font>
      <sz val="10"/>
      <name val="Arial"/>
      <family val="2"/>
    </font>
    <font>
      <sz val="10"/>
      <color rgb="FF0000FF"/>
      <name val="Arial"/>
      <charset val="1"/>
    </font>
    <font>
      <i/>
      <sz val="9"/>
      <color rgb="FF000000"/>
      <name val="Arial"/>
      <charset val="1"/>
    </font>
    <font>
      <b/>
      <sz val="10"/>
      <color rgb="FF0000FF"/>
      <name val="Arial"/>
      <charset val="1"/>
    </font>
    <font>
      <b/>
      <sz val="11"/>
      <color rgb="FF1F3864"/>
      <name val="Arial"/>
      <charset val="1"/>
    </font>
    <font>
      <i/>
      <sz val="9"/>
      <name val="Arial"/>
      <charset val="1"/>
    </font>
    <font>
      <i/>
      <sz val="10"/>
      <color rgb="FFC00000"/>
      <name val="Arial"/>
      <charset val="1"/>
    </font>
  </fonts>
  <fills count="9">
    <fill>
      <patternFill patternType="none"/>
    </fill>
    <fill>
      <patternFill patternType="gray125"/>
    </fill>
    <fill>
      <patternFill patternType="solid">
        <fgColor rgb="FFFFF2CC"/>
        <bgColor rgb="FFFCE4D6"/>
      </patternFill>
    </fill>
    <fill>
      <patternFill patternType="solid">
        <fgColor rgb="FFF2F2F2"/>
        <bgColor rgb="FFE2EFDA"/>
      </patternFill>
    </fill>
    <fill>
      <patternFill patternType="solid">
        <fgColor rgb="FFFCE4D6"/>
        <bgColor rgb="FFFFF2CC"/>
      </patternFill>
    </fill>
    <fill>
      <patternFill patternType="solid">
        <fgColor rgb="FFE2EFDA"/>
        <bgColor rgb="FFF2F2F2"/>
      </patternFill>
    </fill>
    <fill>
      <patternFill patternType="solid">
        <fgColor rgb="FF1F3864"/>
        <bgColor rgb="FF333333"/>
      </patternFill>
    </fill>
    <fill>
      <patternFill patternType="solid">
        <fgColor rgb="FF2F5597"/>
        <bgColor rgb="FF1F3864"/>
      </patternFill>
    </fill>
    <fill>
      <patternFill patternType="solid">
        <fgColor rgb="FFD9E2F3"/>
        <bgColor rgb="FFE2EFDA"/>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46">
    <xf numFmtId="0" fontId="0" fillId="0" borderId="0" xfId="0"/>
    <xf numFmtId="0" fontId="5"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2" borderId="0" xfId="0" applyFont="1" applyFill="1" applyAlignment="1">
      <alignment horizontal="left" vertical="top" wrapText="1"/>
    </xf>
    <xf numFmtId="0" fontId="4"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6" fillId="0" borderId="0" xfId="0" applyFont="1" applyAlignment="1">
      <alignment horizontal="left" vertical="top" wrapText="1"/>
    </xf>
    <xf numFmtId="0" fontId="4" fillId="2" borderId="1" xfId="0" applyFont="1" applyFill="1" applyBorder="1"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1" fillId="0" borderId="0" xfId="0" applyFont="1" applyAlignment="1">
      <alignment horizontal="left" vertical="center" wrapText="1"/>
    </xf>
    <xf numFmtId="0" fontId="3" fillId="0" borderId="0" xfId="0" applyFont="1" applyAlignment="1">
      <alignment horizontal="left" vertical="top" wrapText="1"/>
    </xf>
    <xf numFmtId="0" fontId="4" fillId="2" borderId="1" xfId="0" applyFont="1" applyFill="1" applyBorder="1" applyAlignment="1">
      <alignment horizontal="left" vertical="top" wrapText="1"/>
    </xf>
    <xf numFmtId="0" fontId="5" fillId="0" borderId="0" xfId="0" applyFont="1" applyAlignment="1">
      <alignment horizontal="left" vertical="top" wrapText="1"/>
    </xf>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8" fillId="4" borderId="1" xfId="0" applyFont="1" applyFill="1" applyBorder="1" applyAlignment="1">
      <alignment horizontal="center" vertical="top" wrapText="1"/>
    </xf>
    <xf numFmtId="0" fontId="8" fillId="4" borderId="1" xfId="0" applyFont="1" applyFill="1" applyBorder="1" applyAlignment="1">
      <alignment horizontal="left" vertical="top" wrapText="1"/>
    </xf>
    <xf numFmtId="0" fontId="4" fillId="2" borderId="1" xfId="0" applyFont="1" applyFill="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wrapText="1"/>
    </xf>
    <xf numFmtId="0" fontId="10" fillId="2" borderId="0" xfId="0" applyFont="1" applyFill="1" applyAlignment="1">
      <alignment horizontal="center" vertical="top" wrapText="1"/>
    </xf>
    <xf numFmtId="0" fontId="11" fillId="0" borderId="0" xfId="0" applyFont="1" applyAlignment="1">
      <alignment horizontal="left" vertical="top"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12" fillId="4"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3" fillId="0" borderId="0" xfId="0" applyFont="1" applyAlignment="1">
      <alignment horizontal="left" vertical="top" wrapText="1"/>
    </xf>
    <xf numFmtId="0" fontId="14" fillId="0" borderId="0" xfId="0" applyFont="1"/>
    <xf numFmtId="0" fontId="3" fillId="8"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15" fillId="0" borderId="1" xfId="0" applyFont="1" applyBorder="1" applyAlignment="1">
      <alignment horizontal="left" vertical="center" wrapText="1"/>
    </xf>
    <xf numFmtId="0" fontId="3" fillId="8" borderId="1" xfId="0" applyFont="1" applyFill="1" applyBorder="1" applyAlignment="1">
      <alignment horizontal="left" vertical="center" wrapText="1"/>
    </xf>
  </cellXfs>
  <cellStyles count="1">
    <cellStyle name="Normal" xfId="0" builtinId="0"/>
  </cellStyles>
  <dxfs count="2">
    <dxf>
      <fill>
        <patternFill>
          <bgColor rgb="FFE2EFDA"/>
        </patternFill>
      </fill>
    </dxf>
    <dxf>
      <fill>
        <patternFill>
          <bgColor rgb="FFFCE4D6"/>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50"/>
  <sheetViews>
    <sheetView tabSelected="1" zoomScale="90" zoomScaleNormal="90" workbookViewId="0">
      <pane xSplit="4" ySplit="10" topLeftCell="F11" activePane="bottomRight" state="frozen"/>
      <selection pane="topRight" activeCell="E1" sqref="E1"/>
      <selection pane="bottomLeft" activeCell="A11" sqref="A11"/>
      <selection pane="bottomRight" activeCell="I15" sqref="I15"/>
    </sheetView>
  </sheetViews>
  <sheetFormatPr defaultColWidth="8.6328125" defaultRowHeight="14.5" x14ac:dyDescent="0.35"/>
  <cols>
    <col min="1" max="2" width="9" customWidth="1"/>
    <col min="3" max="3" width="11" customWidth="1"/>
    <col min="4" max="4" width="14" customWidth="1"/>
    <col min="5" max="5" width="30" customWidth="1"/>
    <col min="6" max="6" width="32" customWidth="1"/>
    <col min="7" max="7" width="30" customWidth="1"/>
    <col min="8" max="9" width="28" customWidth="1"/>
    <col min="10" max="12" width="22" customWidth="1"/>
    <col min="13" max="14" width="20" customWidth="1"/>
    <col min="15" max="15" width="24" customWidth="1"/>
    <col min="16" max="16" width="18" customWidth="1"/>
    <col min="17" max="17" width="12" customWidth="1"/>
    <col min="18" max="18" width="26" customWidth="1"/>
  </cols>
  <sheetData>
    <row r="1" spans="1:18" ht="25.5" customHeight="1" x14ac:dyDescent="0.35">
      <c r="A1" s="11" t="s">
        <v>0</v>
      </c>
      <c r="B1" s="11"/>
      <c r="C1" s="11"/>
      <c r="D1" s="11"/>
      <c r="E1" s="11"/>
      <c r="F1" s="11"/>
      <c r="G1" s="11"/>
      <c r="H1" s="11"/>
      <c r="I1" s="11"/>
      <c r="J1" s="11"/>
      <c r="K1" s="11"/>
      <c r="L1" s="11"/>
      <c r="M1" s="11"/>
      <c r="N1" s="11"/>
      <c r="O1" s="11"/>
      <c r="P1" s="11"/>
      <c r="Q1" s="11"/>
      <c r="R1" s="11"/>
    </row>
    <row r="2" spans="1:18" ht="15" customHeight="1" x14ac:dyDescent="0.35">
      <c r="A2" s="10" t="s">
        <v>1</v>
      </c>
      <c r="B2" s="10"/>
      <c r="C2" s="10"/>
      <c r="D2" s="10"/>
      <c r="E2" s="10"/>
      <c r="F2" s="10"/>
      <c r="G2" s="10"/>
      <c r="H2" s="10"/>
      <c r="I2" s="10"/>
      <c r="J2" s="10"/>
      <c r="K2" s="10"/>
      <c r="L2" s="10"/>
      <c r="M2" s="10"/>
      <c r="N2" s="10"/>
      <c r="O2" s="10"/>
      <c r="P2" s="10"/>
      <c r="Q2" s="10"/>
      <c r="R2" s="10"/>
    </row>
    <row r="3" spans="1:18" ht="15" customHeight="1" x14ac:dyDescent="0.35">
      <c r="A3" s="9" t="s">
        <v>2</v>
      </c>
      <c r="B3" s="9"/>
      <c r="C3" s="9"/>
      <c r="D3" s="8" t="s">
        <v>3</v>
      </c>
      <c r="E3" s="8"/>
      <c r="F3" s="8"/>
      <c r="H3" s="14" t="s">
        <v>4</v>
      </c>
    </row>
    <row r="4" spans="1:18" ht="15" customHeight="1" x14ac:dyDescent="0.35">
      <c r="A4" s="9" t="s">
        <v>5</v>
      </c>
      <c r="B4" s="9"/>
      <c r="C4" s="9"/>
      <c r="D4" s="8" t="s">
        <v>6</v>
      </c>
      <c r="E4" s="8"/>
      <c r="F4" s="8"/>
      <c r="H4" s="15"/>
      <c r="I4" s="7" t="s">
        <v>7</v>
      </c>
      <c r="J4" s="7"/>
    </row>
    <row r="5" spans="1:18" ht="15" customHeight="1" x14ac:dyDescent="0.35">
      <c r="A5" s="9" t="s">
        <v>8</v>
      </c>
      <c r="B5" s="9"/>
      <c r="C5" s="9"/>
      <c r="D5" s="8"/>
      <c r="E5" s="8"/>
      <c r="F5" s="8"/>
      <c r="H5" s="16"/>
      <c r="I5" s="7" t="s">
        <v>9</v>
      </c>
      <c r="J5" s="7"/>
    </row>
    <row r="6" spans="1:18" ht="15" customHeight="1" x14ac:dyDescent="0.35">
      <c r="A6" s="9" t="s">
        <v>10</v>
      </c>
      <c r="B6" s="9"/>
      <c r="C6" s="9"/>
      <c r="D6" s="8" t="s">
        <v>11</v>
      </c>
      <c r="E6" s="8"/>
      <c r="F6" s="8"/>
      <c r="H6" s="17"/>
      <c r="I6" s="7" t="s">
        <v>12</v>
      </c>
      <c r="J6" s="7"/>
    </row>
    <row r="7" spans="1:18" ht="15" customHeight="1" x14ac:dyDescent="0.35">
      <c r="A7" s="9" t="s">
        <v>13</v>
      </c>
      <c r="B7" s="9"/>
      <c r="C7" s="9"/>
      <c r="D7" s="8"/>
      <c r="E7" s="8"/>
      <c r="F7" s="8"/>
      <c r="H7" s="18"/>
      <c r="I7" s="7" t="s">
        <v>14</v>
      </c>
      <c r="J7" s="7"/>
    </row>
    <row r="9" spans="1:18" ht="21.75" customHeight="1" x14ac:dyDescent="0.35">
      <c r="A9" s="6" t="s">
        <v>15</v>
      </c>
      <c r="B9" s="6" t="s">
        <v>16</v>
      </c>
      <c r="C9" s="6" t="s">
        <v>17</v>
      </c>
      <c r="D9" s="6" t="s">
        <v>18</v>
      </c>
      <c r="E9" s="6" t="s">
        <v>19</v>
      </c>
      <c r="F9" s="6" t="s">
        <v>20</v>
      </c>
      <c r="G9" s="6" t="s">
        <v>21</v>
      </c>
      <c r="H9" s="6" t="s">
        <v>22</v>
      </c>
      <c r="I9" s="6"/>
      <c r="J9" s="6" t="s">
        <v>23</v>
      </c>
      <c r="K9" s="6"/>
      <c r="L9" s="6"/>
      <c r="M9" s="6" t="s">
        <v>24</v>
      </c>
      <c r="N9" s="6" t="s">
        <v>25</v>
      </c>
      <c r="O9" s="6" t="s">
        <v>26</v>
      </c>
      <c r="P9" s="6" t="s">
        <v>27</v>
      </c>
      <c r="Q9" s="6" t="s">
        <v>28</v>
      </c>
      <c r="R9" s="6" t="s">
        <v>29</v>
      </c>
    </row>
    <row r="10" spans="1:18" ht="30" customHeight="1" x14ac:dyDescent="0.35">
      <c r="A10" s="6"/>
      <c r="B10" s="6"/>
      <c r="C10" s="6"/>
      <c r="D10" s="6"/>
      <c r="E10" s="6"/>
      <c r="F10" s="6"/>
      <c r="G10" s="6"/>
      <c r="H10" s="20" t="s">
        <v>30</v>
      </c>
      <c r="I10" s="20" t="s">
        <v>31</v>
      </c>
      <c r="J10" s="20" t="s">
        <v>32</v>
      </c>
      <c r="K10" s="20" t="s">
        <v>33</v>
      </c>
      <c r="L10" s="20" t="s">
        <v>34</v>
      </c>
      <c r="M10" s="6"/>
      <c r="N10" s="6"/>
      <c r="O10" s="6"/>
      <c r="P10" s="6"/>
      <c r="Q10" s="6"/>
      <c r="R10" s="6"/>
    </row>
    <row r="11" spans="1:18" ht="78" customHeight="1" x14ac:dyDescent="0.35">
      <c r="A11" s="21" t="s">
        <v>35</v>
      </c>
      <c r="B11" s="21">
        <v>1</v>
      </c>
      <c r="C11" s="21" t="s">
        <v>36</v>
      </c>
      <c r="D11" s="5" t="s">
        <v>37</v>
      </c>
      <c r="E11" s="4" t="s">
        <v>38</v>
      </c>
      <c r="F11" s="22" t="s">
        <v>39</v>
      </c>
      <c r="G11" s="22" t="s">
        <v>40</v>
      </c>
      <c r="H11" s="22" t="s">
        <v>41</v>
      </c>
      <c r="I11" s="22" t="s">
        <v>42</v>
      </c>
      <c r="J11" s="22" t="s">
        <v>43</v>
      </c>
      <c r="K11" s="22" t="s">
        <v>44</v>
      </c>
      <c r="L11" s="22" t="s">
        <v>45</v>
      </c>
      <c r="M11" s="22" t="s">
        <v>46</v>
      </c>
      <c r="N11" s="22" t="s">
        <v>47</v>
      </c>
      <c r="O11" s="22" t="s">
        <v>48</v>
      </c>
      <c r="P11" s="21"/>
      <c r="Q11" s="21" t="s">
        <v>49</v>
      </c>
      <c r="R11" s="22"/>
    </row>
    <row r="12" spans="1:18" ht="78" customHeight="1" x14ac:dyDescent="0.35">
      <c r="A12" s="21" t="s">
        <v>35</v>
      </c>
      <c r="B12" s="21">
        <v>2</v>
      </c>
      <c r="C12" s="21" t="s">
        <v>36</v>
      </c>
      <c r="D12" s="5"/>
      <c r="E12" s="5"/>
      <c r="F12" s="22" t="s">
        <v>50</v>
      </c>
      <c r="G12" s="22" t="s">
        <v>40</v>
      </c>
      <c r="H12" s="22" t="s">
        <v>51</v>
      </c>
      <c r="I12" s="22" t="s">
        <v>52</v>
      </c>
      <c r="J12" s="22" t="s">
        <v>53</v>
      </c>
      <c r="K12" s="22" t="s">
        <v>54</v>
      </c>
      <c r="L12" s="22" t="s">
        <v>55</v>
      </c>
      <c r="M12" s="22" t="s">
        <v>46</v>
      </c>
      <c r="N12" s="22" t="s">
        <v>47</v>
      </c>
      <c r="O12" s="22" t="s">
        <v>56</v>
      </c>
      <c r="P12" s="21"/>
      <c r="Q12" s="21" t="s">
        <v>49</v>
      </c>
      <c r="R12" s="22"/>
    </row>
    <row r="13" spans="1:18" ht="78" customHeight="1" x14ac:dyDescent="0.35">
      <c r="A13" s="21" t="s">
        <v>35</v>
      </c>
      <c r="B13" s="21">
        <v>3</v>
      </c>
      <c r="C13" s="21" t="s">
        <v>36</v>
      </c>
      <c r="D13" s="5"/>
      <c r="E13" s="5"/>
      <c r="F13" s="22" t="s">
        <v>57</v>
      </c>
      <c r="G13" s="22" t="s">
        <v>40</v>
      </c>
      <c r="H13" s="22" t="s">
        <v>58</v>
      </c>
      <c r="I13" s="22" t="s">
        <v>59</v>
      </c>
      <c r="J13" s="22" t="s">
        <v>60</v>
      </c>
      <c r="K13" s="22" t="s">
        <v>61</v>
      </c>
      <c r="L13" s="22"/>
      <c r="M13" s="22" t="s">
        <v>46</v>
      </c>
      <c r="N13" s="22" t="s">
        <v>47</v>
      </c>
      <c r="O13" s="22" t="s">
        <v>62</v>
      </c>
      <c r="P13" s="21"/>
      <c r="Q13" s="21" t="s">
        <v>49</v>
      </c>
      <c r="R13" s="22"/>
    </row>
    <row r="14" spans="1:18" ht="78" customHeight="1" x14ac:dyDescent="0.35">
      <c r="A14" s="21" t="s">
        <v>35</v>
      </c>
      <c r="B14" s="21">
        <v>4</v>
      </c>
      <c r="C14" s="21" t="s">
        <v>36</v>
      </c>
      <c r="D14" s="5"/>
      <c r="E14" s="5"/>
      <c r="F14" s="22" t="s">
        <v>63</v>
      </c>
      <c r="G14" s="22" t="s">
        <v>40</v>
      </c>
      <c r="H14" s="22" t="s">
        <v>64</v>
      </c>
      <c r="I14" s="22" t="s">
        <v>65</v>
      </c>
      <c r="J14" s="22" t="s">
        <v>66</v>
      </c>
      <c r="K14" s="22"/>
      <c r="L14" s="22" t="s">
        <v>67</v>
      </c>
      <c r="M14" s="22" t="s">
        <v>46</v>
      </c>
      <c r="N14" s="22"/>
      <c r="O14" s="22" t="s">
        <v>68</v>
      </c>
      <c r="P14" s="21"/>
      <c r="Q14" s="21" t="s">
        <v>49</v>
      </c>
      <c r="R14" s="22"/>
    </row>
    <row r="15" spans="1:18" ht="78" customHeight="1" x14ac:dyDescent="0.35">
      <c r="A15" s="21" t="s">
        <v>35</v>
      </c>
      <c r="B15" s="21">
        <v>5</v>
      </c>
      <c r="C15" s="21" t="s">
        <v>36</v>
      </c>
      <c r="D15" s="5"/>
      <c r="E15" s="5"/>
      <c r="F15" s="22" t="s">
        <v>69</v>
      </c>
      <c r="G15" s="22" t="s">
        <v>40</v>
      </c>
      <c r="H15" s="22" t="s">
        <v>70</v>
      </c>
      <c r="I15" s="22" t="s">
        <v>71</v>
      </c>
      <c r="J15" s="22" t="s">
        <v>72</v>
      </c>
      <c r="K15" s="22" t="s">
        <v>73</v>
      </c>
      <c r="L15" s="22"/>
      <c r="M15" s="22" t="s">
        <v>46</v>
      </c>
      <c r="N15" s="22" t="s">
        <v>47</v>
      </c>
      <c r="O15" s="22" t="s">
        <v>74</v>
      </c>
      <c r="P15" s="21"/>
      <c r="Q15" s="21" t="s">
        <v>49</v>
      </c>
      <c r="R15" s="22"/>
    </row>
    <row r="16" spans="1:18" ht="78" customHeight="1" x14ac:dyDescent="0.35">
      <c r="A16" s="23" t="s">
        <v>35</v>
      </c>
      <c r="B16" s="23">
        <v>6</v>
      </c>
      <c r="C16" s="23" t="s">
        <v>75</v>
      </c>
      <c r="D16" s="5"/>
      <c r="E16" s="5"/>
      <c r="F16" s="24" t="s">
        <v>76</v>
      </c>
      <c r="G16" s="24"/>
      <c r="H16" s="24"/>
      <c r="I16" s="24"/>
      <c r="J16" s="24"/>
      <c r="K16" s="24"/>
      <c r="L16" s="24"/>
      <c r="M16" s="24" t="s">
        <v>77</v>
      </c>
      <c r="N16" s="24" t="s">
        <v>78</v>
      </c>
      <c r="O16" s="24" t="s">
        <v>79</v>
      </c>
      <c r="P16" s="23" t="s">
        <v>80</v>
      </c>
      <c r="Q16" s="23" t="s">
        <v>49</v>
      </c>
      <c r="R16" s="24" t="s">
        <v>81</v>
      </c>
    </row>
    <row r="17" spans="1:18" ht="30" customHeight="1" x14ac:dyDescent="0.35">
      <c r="A17" s="25"/>
      <c r="B17" s="25">
        <f t="shared" ref="B17:B50" si="0">B16+1</f>
        <v>7</v>
      </c>
      <c r="C17" s="25"/>
      <c r="D17" s="13"/>
      <c r="E17" s="13"/>
      <c r="F17" s="13"/>
      <c r="G17" s="26"/>
      <c r="H17" s="26"/>
      <c r="I17" s="26"/>
      <c r="J17" s="26"/>
      <c r="K17" s="26"/>
      <c r="L17" s="26"/>
      <c r="M17" s="26"/>
      <c r="N17" s="26"/>
      <c r="O17" s="26"/>
      <c r="P17" s="27"/>
      <c r="Q17" s="27"/>
      <c r="R17" s="26"/>
    </row>
    <row r="18" spans="1:18" ht="30" customHeight="1" x14ac:dyDescent="0.35">
      <c r="A18" s="25"/>
      <c r="B18" s="25">
        <f t="shared" si="0"/>
        <v>8</v>
      </c>
      <c r="C18" s="25"/>
      <c r="D18" s="13"/>
      <c r="E18" s="13"/>
      <c r="F18" s="13"/>
      <c r="G18" s="26"/>
      <c r="H18" s="26"/>
      <c r="I18" s="26"/>
      <c r="J18" s="26"/>
      <c r="K18" s="26"/>
      <c r="L18" s="26"/>
      <c r="M18" s="26"/>
      <c r="N18" s="26"/>
      <c r="O18" s="26"/>
      <c r="P18" s="27"/>
      <c r="Q18" s="27"/>
      <c r="R18" s="26"/>
    </row>
    <row r="19" spans="1:18" ht="30" customHeight="1" x14ac:dyDescent="0.35">
      <c r="A19" s="25"/>
      <c r="B19" s="25">
        <f t="shared" si="0"/>
        <v>9</v>
      </c>
      <c r="C19" s="25"/>
      <c r="D19" s="13"/>
      <c r="E19" s="13"/>
      <c r="F19" s="13"/>
      <c r="G19" s="26"/>
      <c r="H19" s="26"/>
      <c r="I19" s="26"/>
      <c r="J19" s="26"/>
      <c r="K19" s="26"/>
      <c r="L19" s="26"/>
      <c r="M19" s="26"/>
      <c r="N19" s="26"/>
      <c r="O19" s="26"/>
      <c r="P19" s="27"/>
      <c r="Q19" s="27"/>
      <c r="R19" s="26"/>
    </row>
    <row r="20" spans="1:18" ht="30" customHeight="1" x14ac:dyDescent="0.35">
      <c r="A20" s="25"/>
      <c r="B20" s="25">
        <f t="shared" si="0"/>
        <v>10</v>
      </c>
      <c r="C20" s="25"/>
      <c r="D20" s="13"/>
      <c r="E20" s="13"/>
      <c r="F20" s="13"/>
      <c r="G20" s="26"/>
      <c r="H20" s="26"/>
      <c r="I20" s="26"/>
      <c r="J20" s="26"/>
      <c r="K20" s="26"/>
      <c r="L20" s="26"/>
      <c r="M20" s="26"/>
      <c r="N20" s="26"/>
      <c r="O20" s="26"/>
      <c r="P20" s="27"/>
      <c r="Q20" s="27"/>
      <c r="R20" s="26"/>
    </row>
    <row r="21" spans="1:18" ht="30" customHeight="1" x14ac:dyDescent="0.35">
      <c r="A21" s="25"/>
      <c r="B21" s="25">
        <f t="shared" si="0"/>
        <v>11</v>
      </c>
      <c r="C21" s="25"/>
      <c r="D21" s="13"/>
      <c r="E21" s="13"/>
      <c r="F21" s="13"/>
      <c r="G21" s="26"/>
      <c r="H21" s="26"/>
      <c r="I21" s="26"/>
      <c r="J21" s="26"/>
      <c r="K21" s="26"/>
      <c r="L21" s="26"/>
      <c r="M21" s="26"/>
      <c r="N21" s="26"/>
      <c r="O21" s="26"/>
      <c r="P21" s="27"/>
      <c r="Q21" s="27"/>
      <c r="R21" s="26"/>
    </row>
    <row r="22" spans="1:18" ht="30" customHeight="1" x14ac:dyDescent="0.35">
      <c r="A22" s="25"/>
      <c r="B22" s="25">
        <f t="shared" si="0"/>
        <v>12</v>
      </c>
      <c r="C22" s="25"/>
      <c r="D22" s="13"/>
      <c r="E22" s="13"/>
      <c r="F22" s="13"/>
      <c r="G22" s="26"/>
      <c r="H22" s="26"/>
      <c r="I22" s="26"/>
      <c r="J22" s="26"/>
      <c r="K22" s="26"/>
      <c r="L22" s="26"/>
      <c r="M22" s="26"/>
      <c r="N22" s="26"/>
      <c r="O22" s="26"/>
      <c r="P22" s="27"/>
      <c r="Q22" s="27"/>
      <c r="R22" s="26"/>
    </row>
    <row r="23" spans="1:18" ht="30" customHeight="1" x14ac:dyDescent="0.35">
      <c r="A23" s="25"/>
      <c r="B23" s="25">
        <f t="shared" si="0"/>
        <v>13</v>
      </c>
      <c r="C23" s="25"/>
      <c r="D23" s="13"/>
      <c r="E23" s="13"/>
      <c r="F23" s="13"/>
      <c r="G23" s="26"/>
      <c r="H23" s="26"/>
      <c r="I23" s="26"/>
      <c r="J23" s="26"/>
      <c r="K23" s="26"/>
      <c r="L23" s="26"/>
      <c r="M23" s="26"/>
      <c r="N23" s="26"/>
      <c r="O23" s="26"/>
      <c r="P23" s="27"/>
      <c r="Q23" s="27"/>
      <c r="R23" s="26"/>
    </row>
    <row r="24" spans="1:18" ht="30" customHeight="1" x14ac:dyDescent="0.35">
      <c r="A24" s="25"/>
      <c r="B24" s="25">
        <f t="shared" si="0"/>
        <v>14</v>
      </c>
      <c r="C24" s="25"/>
      <c r="D24" s="13"/>
      <c r="E24" s="13"/>
      <c r="F24" s="13"/>
      <c r="G24" s="26"/>
      <c r="H24" s="26"/>
      <c r="I24" s="26"/>
      <c r="J24" s="26"/>
      <c r="K24" s="26"/>
      <c r="L24" s="26"/>
      <c r="M24" s="26"/>
      <c r="N24" s="26"/>
      <c r="O24" s="26"/>
      <c r="P24" s="27"/>
      <c r="Q24" s="27"/>
      <c r="R24" s="26"/>
    </row>
    <row r="25" spans="1:18" ht="30" customHeight="1" x14ac:dyDescent="0.35">
      <c r="A25" s="25"/>
      <c r="B25" s="25">
        <f t="shared" si="0"/>
        <v>15</v>
      </c>
      <c r="C25" s="25"/>
      <c r="D25" s="13"/>
      <c r="E25" s="13"/>
      <c r="F25" s="13"/>
      <c r="G25" s="26"/>
      <c r="H25" s="26"/>
      <c r="I25" s="26"/>
      <c r="J25" s="26"/>
      <c r="K25" s="26"/>
      <c r="L25" s="26"/>
      <c r="M25" s="26"/>
      <c r="N25" s="26"/>
      <c r="O25" s="26"/>
      <c r="P25" s="27"/>
      <c r="Q25" s="27"/>
      <c r="R25" s="26"/>
    </row>
    <row r="26" spans="1:18" ht="30" customHeight="1" x14ac:dyDescent="0.35">
      <c r="A26" s="25"/>
      <c r="B26" s="25">
        <f t="shared" si="0"/>
        <v>16</v>
      </c>
      <c r="C26" s="25"/>
      <c r="D26" s="13"/>
      <c r="E26" s="13"/>
      <c r="F26" s="13"/>
      <c r="G26" s="26"/>
      <c r="H26" s="26"/>
      <c r="I26" s="26"/>
      <c r="J26" s="26"/>
      <c r="K26" s="26"/>
      <c r="L26" s="26"/>
      <c r="M26" s="26"/>
      <c r="N26" s="26"/>
      <c r="O26" s="26"/>
      <c r="P26" s="27"/>
      <c r="Q26" s="27"/>
      <c r="R26" s="26"/>
    </row>
    <row r="27" spans="1:18" ht="30" customHeight="1" x14ac:dyDescent="0.35">
      <c r="A27" s="25"/>
      <c r="B27" s="25">
        <f t="shared" si="0"/>
        <v>17</v>
      </c>
      <c r="C27" s="25"/>
      <c r="D27" s="13"/>
      <c r="E27" s="13"/>
      <c r="F27" s="13"/>
      <c r="G27" s="26"/>
      <c r="H27" s="26"/>
      <c r="I27" s="26"/>
      <c r="J27" s="26"/>
      <c r="K27" s="26"/>
      <c r="L27" s="26"/>
      <c r="M27" s="26"/>
      <c r="N27" s="26"/>
      <c r="O27" s="26"/>
      <c r="P27" s="27"/>
      <c r="Q27" s="27"/>
      <c r="R27" s="26"/>
    </row>
    <row r="28" spans="1:18" ht="30" customHeight="1" x14ac:dyDescent="0.35">
      <c r="A28" s="25"/>
      <c r="B28" s="25">
        <f t="shared" si="0"/>
        <v>18</v>
      </c>
      <c r="C28" s="25"/>
      <c r="D28" s="13"/>
      <c r="E28" s="13"/>
      <c r="F28" s="13"/>
      <c r="G28" s="26"/>
      <c r="H28" s="26"/>
      <c r="I28" s="26"/>
      <c r="J28" s="26"/>
      <c r="K28" s="26"/>
      <c r="L28" s="26"/>
      <c r="M28" s="26"/>
      <c r="N28" s="26"/>
      <c r="O28" s="26"/>
      <c r="P28" s="27"/>
      <c r="Q28" s="27"/>
      <c r="R28" s="26"/>
    </row>
    <row r="29" spans="1:18" ht="30" customHeight="1" x14ac:dyDescent="0.35">
      <c r="A29" s="25"/>
      <c r="B29" s="25">
        <f t="shared" si="0"/>
        <v>19</v>
      </c>
      <c r="C29" s="25"/>
      <c r="D29" s="13"/>
      <c r="E29" s="13"/>
      <c r="F29" s="13"/>
      <c r="G29" s="26"/>
      <c r="H29" s="26"/>
      <c r="I29" s="26"/>
      <c r="J29" s="26"/>
      <c r="K29" s="26"/>
      <c r="L29" s="26"/>
      <c r="M29" s="26"/>
      <c r="N29" s="26"/>
      <c r="O29" s="26"/>
      <c r="P29" s="27"/>
      <c r="Q29" s="27"/>
      <c r="R29" s="26"/>
    </row>
    <row r="30" spans="1:18" ht="30" customHeight="1" x14ac:dyDescent="0.35">
      <c r="A30" s="25"/>
      <c r="B30" s="25">
        <f t="shared" si="0"/>
        <v>20</v>
      </c>
      <c r="C30" s="25"/>
      <c r="D30" s="13"/>
      <c r="E30" s="13"/>
      <c r="F30" s="13"/>
      <c r="G30" s="26"/>
      <c r="H30" s="26"/>
      <c r="I30" s="26"/>
      <c r="J30" s="26"/>
      <c r="K30" s="26"/>
      <c r="L30" s="26"/>
      <c r="M30" s="26"/>
      <c r="N30" s="26"/>
      <c r="O30" s="26"/>
      <c r="P30" s="27"/>
      <c r="Q30" s="27"/>
      <c r="R30" s="26"/>
    </row>
    <row r="31" spans="1:18" ht="30" customHeight="1" x14ac:dyDescent="0.35">
      <c r="A31" s="25"/>
      <c r="B31" s="25">
        <f t="shared" si="0"/>
        <v>21</v>
      </c>
      <c r="C31" s="25"/>
      <c r="D31" s="13"/>
      <c r="E31" s="13"/>
      <c r="F31" s="13"/>
      <c r="G31" s="26"/>
      <c r="H31" s="26"/>
      <c r="I31" s="26"/>
      <c r="J31" s="26"/>
      <c r="K31" s="26"/>
      <c r="L31" s="26"/>
      <c r="M31" s="26"/>
      <c r="N31" s="26"/>
      <c r="O31" s="26"/>
      <c r="P31" s="27"/>
      <c r="Q31" s="27"/>
      <c r="R31" s="26"/>
    </row>
    <row r="32" spans="1:18" ht="30" customHeight="1" x14ac:dyDescent="0.35">
      <c r="A32" s="25"/>
      <c r="B32" s="25">
        <f t="shared" si="0"/>
        <v>22</v>
      </c>
      <c r="C32" s="25"/>
      <c r="D32" s="13"/>
      <c r="E32" s="13"/>
      <c r="F32" s="13"/>
      <c r="G32" s="26"/>
      <c r="H32" s="26"/>
      <c r="I32" s="26"/>
      <c r="J32" s="26"/>
      <c r="K32" s="26"/>
      <c r="L32" s="26"/>
      <c r="M32" s="26"/>
      <c r="N32" s="26"/>
      <c r="O32" s="26"/>
      <c r="P32" s="27"/>
      <c r="Q32" s="27"/>
      <c r="R32" s="26"/>
    </row>
    <row r="33" spans="1:18" ht="30" customHeight="1" x14ac:dyDescent="0.35">
      <c r="A33" s="25"/>
      <c r="B33" s="25">
        <f t="shared" si="0"/>
        <v>23</v>
      </c>
      <c r="C33" s="25"/>
      <c r="D33" s="13"/>
      <c r="E33" s="13"/>
      <c r="F33" s="13"/>
      <c r="G33" s="26"/>
      <c r="H33" s="26"/>
      <c r="I33" s="26"/>
      <c r="J33" s="26"/>
      <c r="K33" s="26"/>
      <c r="L33" s="26"/>
      <c r="M33" s="26"/>
      <c r="N33" s="26"/>
      <c r="O33" s="26"/>
      <c r="P33" s="27"/>
      <c r="Q33" s="27"/>
      <c r="R33" s="26"/>
    </row>
    <row r="34" spans="1:18" ht="30" customHeight="1" x14ac:dyDescent="0.35">
      <c r="A34" s="25"/>
      <c r="B34" s="25">
        <f t="shared" si="0"/>
        <v>24</v>
      </c>
      <c r="C34" s="25"/>
      <c r="D34" s="13"/>
      <c r="E34" s="13"/>
      <c r="F34" s="13"/>
      <c r="G34" s="26"/>
      <c r="H34" s="26"/>
      <c r="I34" s="26"/>
      <c r="J34" s="26"/>
      <c r="K34" s="26"/>
      <c r="L34" s="26"/>
      <c r="M34" s="26"/>
      <c r="N34" s="26"/>
      <c r="O34" s="26"/>
      <c r="P34" s="27"/>
      <c r="Q34" s="27"/>
      <c r="R34" s="26"/>
    </row>
    <row r="35" spans="1:18" ht="30" customHeight="1" x14ac:dyDescent="0.35">
      <c r="A35" s="25"/>
      <c r="B35" s="25">
        <f t="shared" si="0"/>
        <v>25</v>
      </c>
      <c r="C35" s="25"/>
      <c r="D35" s="13"/>
      <c r="E35" s="13"/>
      <c r="F35" s="13"/>
      <c r="G35" s="26"/>
      <c r="H35" s="26"/>
      <c r="I35" s="26"/>
      <c r="J35" s="26"/>
      <c r="K35" s="26"/>
      <c r="L35" s="26"/>
      <c r="M35" s="26"/>
      <c r="N35" s="26"/>
      <c r="O35" s="26"/>
      <c r="P35" s="27"/>
      <c r="Q35" s="27"/>
      <c r="R35" s="26"/>
    </row>
    <row r="36" spans="1:18" ht="30" customHeight="1" x14ac:dyDescent="0.35">
      <c r="A36" s="25"/>
      <c r="B36" s="25">
        <f t="shared" si="0"/>
        <v>26</v>
      </c>
      <c r="C36" s="25"/>
      <c r="D36" s="13"/>
      <c r="E36" s="13"/>
      <c r="F36" s="13"/>
      <c r="G36" s="26"/>
      <c r="H36" s="26"/>
      <c r="I36" s="26"/>
      <c r="J36" s="26"/>
      <c r="K36" s="26"/>
      <c r="L36" s="26"/>
      <c r="M36" s="26"/>
      <c r="N36" s="26"/>
      <c r="O36" s="26"/>
      <c r="P36" s="27"/>
      <c r="Q36" s="27"/>
      <c r="R36" s="26"/>
    </row>
    <row r="37" spans="1:18" ht="30" customHeight="1" x14ac:dyDescent="0.35">
      <c r="A37" s="25"/>
      <c r="B37" s="25">
        <f t="shared" si="0"/>
        <v>27</v>
      </c>
      <c r="C37" s="25"/>
      <c r="D37" s="13"/>
      <c r="E37" s="13"/>
      <c r="F37" s="13"/>
      <c r="G37" s="26"/>
      <c r="H37" s="26"/>
      <c r="I37" s="26"/>
      <c r="J37" s="26"/>
      <c r="K37" s="26"/>
      <c r="L37" s="26"/>
      <c r="M37" s="26"/>
      <c r="N37" s="26"/>
      <c r="O37" s="26"/>
      <c r="P37" s="27"/>
      <c r="Q37" s="27"/>
      <c r="R37" s="26"/>
    </row>
    <row r="38" spans="1:18" ht="30" customHeight="1" x14ac:dyDescent="0.35">
      <c r="A38" s="25"/>
      <c r="B38" s="25">
        <f t="shared" si="0"/>
        <v>28</v>
      </c>
      <c r="C38" s="25"/>
      <c r="D38" s="13"/>
      <c r="E38" s="13"/>
      <c r="F38" s="13"/>
      <c r="G38" s="26"/>
      <c r="H38" s="26"/>
      <c r="I38" s="26"/>
      <c r="J38" s="26"/>
      <c r="K38" s="26"/>
      <c r="L38" s="26"/>
      <c r="M38" s="26"/>
      <c r="N38" s="26"/>
      <c r="O38" s="26"/>
      <c r="P38" s="27"/>
      <c r="Q38" s="27"/>
      <c r="R38" s="26"/>
    </row>
    <row r="39" spans="1:18" ht="30" customHeight="1" x14ac:dyDescent="0.35">
      <c r="A39" s="25"/>
      <c r="B39" s="25">
        <f t="shared" si="0"/>
        <v>29</v>
      </c>
      <c r="C39" s="25"/>
      <c r="D39" s="13"/>
      <c r="E39" s="13"/>
      <c r="F39" s="13"/>
      <c r="G39" s="26"/>
      <c r="H39" s="26"/>
      <c r="I39" s="26"/>
      <c r="J39" s="26"/>
      <c r="K39" s="26"/>
      <c r="L39" s="26"/>
      <c r="M39" s="26"/>
      <c r="N39" s="26"/>
      <c r="O39" s="26"/>
      <c r="P39" s="27"/>
      <c r="Q39" s="27"/>
      <c r="R39" s="26"/>
    </row>
    <row r="40" spans="1:18" ht="30" customHeight="1" x14ac:dyDescent="0.35">
      <c r="A40" s="25"/>
      <c r="B40" s="25">
        <f t="shared" si="0"/>
        <v>30</v>
      </c>
      <c r="C40" s="25"/>
      <c r="D40" s="13"/>
      <c r="E40" s="13"/>
      <c r="F40" s="13"/>
      <c r="G40" s="26"/>
      <c r="H40" s="26"/>
      <c r="I40" s="26"/>
      <c r="J40" s="26"/>
      <c r="K40" s="26"/>
      <c r="L40" s="26"/>
      <c r="M40" s="26"/>
      <c r="N40" s="26"/>
      <c r="O40" s="26"/>
      <c r="P40" s="27"/>
      <c r="Q40" s="27"/>
      <c r="R40" s="26"/>
    </row>
    <row r="41" spans="1:18" ht="30" customHeight="1" x14ac:dyDescent="0.35">
      <c r="A41" s="25"/>
      <c r="B41" s="25">
        <f t="shared" si="0"/>
        <v>31</v>
      </c>
      <c r="C41" s="25"/>
      <c r="D41" s="13"/>
      <c r="E41" s="13"/>
      <c r="F41" s="13"/>
      <c r="G41" s="26"/>
      <c r="H41" s="26"/>
      <c r="I41" s="26"/>
      <c r="J41" s="26"/>
      <c r="K41" s="26"/>
      <c r="L41" s="26"/>
      <c r="M41" s="26"/>
      <c r="N41" s="26"/>
      <c r="O41" s="26"/>
      <c r="P41" s="27"/>
      <c r="Q41" s="27"/>
      <c r="R41" s="26"/>
    </row>
    <row r="42" spans="1:18" ht="30" customHeight="1" x14ac:dyDescent="0.35">
      <c r="A42" s="25"/>
      <c r="B42" s="25">
        <f t="shared" si="0"/>
        <v>32</v>
      </c>
      <c r="C42" s="25"/>
      <c r="D42" s="13"/>
      <c r="E42" s="13"/>
      <c r="F42" s="13"/>
      <c r="G42" s="26"/>
      <c r="H42" s="26"/>
      <c r="I42" s="26"/>
      <c r="J42" s="26"/>
      <c r="K42" s="26"/>
      <c r="L42" s="26"/>
      <c r="M42" s="26"/>
      <c r="N42" s="26"/>
      <c r="O42" s="26"/>
      <c r="P42" s="27"/>
      <c r="Q42" s="27"/>
      <c r="R42" s="26"/>
    </row>
    <row r="43" spans="1:18" ht="30" customHeight="1" x14ac:dyDescent="0.35">
      <c r="A43" s="25"/>
      <c r="B43" s="25">
        <f t="shared" si="0"/>
        <v>33</v>
      </c>
      <c r="C43" s="25"/>
      <c r="D43" s="13"/>
      <c r="E43" s="13"/>
      <c r="F43" s="13"/>
      <c r="G43" s="26"/>
      <c r="H43" s="26"/>
      <c r="I43" s="26"/>
      <c r="J43" s="26"/>
      <c r="K43" s="26"/>
      <c r="L43" s="26"/>
      <c r="M43" s="26"/>
      <c r="N43" s="26"/>
      <c r="O43" s="26"/>
      <c r="P43" s="27"/>
      <c r="Q43" s="27"/>
      <c r="R43" s="26"/>
    </row>
    <row r="44" spans="1:18" ht="30" customHeight="1" x14ac:dyDescent="0.35">
      <c r="A44" s="25"/>
      <c r="B44" s="25">
        <f t="shared" si="0"/>
        <v>34</v>
      </c>
      <c r="C44" s="25"/>
      <c r="D44" s="13"/>
      <c r="E44" s="13"/>
      <c r="F44" s="13"/>
      <c r="G44" s="26"/>
      <c r="H44" s="26"/>
      <c r="I44" s="26"/>
      <c r="J44" s="26"/>
      <c r="K44" s="26"/>
      <c r="L44" s="26"/>
      <c r="M44" s="26"/>
      <c r="N44" s="26"/>
      <c r="O44" s="26"/>
      <c r="P44" s="27"/>
      <c r="Q44" s="27"/>
      <c r="R44" s="26"/>
    </row>
    <row r="45" spans="1:18" ht="30" customHeight="1" x14ac:dyDescent="0.35">
      <c r="A45" s="25"/>
      <c r="B45" s="25">
        <f t="shared" si="0"/>
        <v>35</v>
      </c>
      <c r="C45" s="25"/>
      <c r="D45" s="13"/>
      <c r="E45" s="13"/>
      <c r="F45" s="13"/>
      <c r="G45" s="26"/>
      <c r="H45" s="26"/>
      <c r="I45" s="26"/>
      <c r="J45" s="26"/>
      <c r="K45" s="26"/>
      <c r="L45" s="26"/>
      <c r="M45" s="26"/>
      <c r="N45" s="26"/>
      <c r="O45" s="26"/>
      <c r="P45" s="27"/>
      <c r="Q45" s="27"/>
      <c r="R45" s="26"/>
    </row>
    <row r="46" spans="1:18" ht="30" customHeight="1" x14ac:dyDescent="0.35">
      <c r="A46" s="25"/>
      <c r="B46" s="25">
        <f t="shared" si="0"/>
        <v>36</v>
      </c>
      <c r="C46" s="25"/>
      <c r="D46" s="13"/>
      <c r="E46" s="13"/>
      <c r="F46" s="13"/>
      <c r="G46" s="26"/>
      <c r="H46" s="26"/>
      <c r="I46" s="26"/>
      <c r="J46" s="26"/>
      <c r="K46" s="26"/>
      <c r="L46" s="26"/>
      <c r="M46" s="26"/>
      <c r="N46" s="26"/>
      <c r="O46" s="26"/>
      <c r="P46" s="27"/>
      <c r="Q46" s="27"/>
      <c r="R46" s="26"/>
    </row>
    <row r="47" spans="1:18" ht="30" customHeight="1" x14ac:dyDescent="0.35">
      <c r="A47" s="25"/>
      <c r="B47" s="25">
        <f t="shared" si="0"/>
        <v>37</v>
      </c>
      <c r="C47" s="25"/>
      <c r="D47" s="13"/>
      <c r="E47" s="13"/>
      <c r="F47" s="13"/>
      <c r="G47" s="26"/>
      <c r="H47" s="26"/>
      <c r="I47" s="26"/>
      <c r="J47" s="26"/>
      <c r="K47" s="26"/>
      <c r="L47" s="26"/>
      <c r="M47" s="26"/>
      <c r="N47" s="26"/>
      <c r="O47" s="26"/>
      <c r="P47" s="27"/>
      <c r="Q47" s="27"/>
      <c r="R47" s="26"/>
    </row>
    <row r="48" spans="1:18" ht="30" customHeight="1" x14ac:dyDescent="0.35">
      <c r="A48" s="25"/>
      <c r="B48" s="25">
        <f t="shared" si="0"/>
        <v>38</v>
      </c>
      <c r="C48" s="25"/>
      <c r="D48" s="13"/>
      <c r="E48" s="13"/>
      <c r="F48" s="13"/>
      <c r="G48" s="26"/>
      <c r="H48" s="26"/>
      <c r="I48" s="26"/>
      <c r="J48" s="26"/>
      <c r="K48" s="26"/>
      <c r="L48" s="26"/>
      <c r="M48" s="26"/>
      <c r="N48" s="26"/>
      <c r="O48" s="26"/>
      <c r="P48" s="27"/>
      <c r="Q48" s="27"/>
      <c r="R48" s="26"/>
    </row>
    <row r="49" spans="1:18" ht="30" customHeight="1" x14ac:dyDescent="0.35">
      <c r="A49" s="25"/>
      <c r="B49" s="25">
        <f t="shared" si="0"/>
        <v>39</v>
      </c>
      <c r="C49" s="25"/>
      <c r="D49" s="13"/>
      <c r="E49" s="13"/>
      <c r="F49" s="13"/>
      <c r="G49" s="26"/>
      <c r="H49" s="26"/>
      <c r="I49" s="26"/>
      <c r="J49" s="26"/>
      <c r="K49" s="26"/>
      <c r="L49" s="26"/>
      <c r="M49" s="26"/>
      <c r="N49" s="26"/>
      <c r="O49" s="26"/>
      <c r="P49" s="27"/>
      <c r="Q49" s="27"/>
      <c r="R49" s="26"/>
    </row>
    <row r="50" spans="1:18" ht="30" customHeight="1" x14ac:dyDescent="0.35">
      <c r="A50" s="25"/>
      <c r="B50" s="25">
        <f t="shared" si="0"/>
        <v>40</v>
      </c>
      <c r="C50" s="25"/>
      <c r="D50" s="13"/>
      <c r="E50" s="13"/>
      <c r="F50" s="13"/>
      <c r="G50" s="26"/>
      <c r="H50" s="26"/>
      <c r="I50" s="26"/>
      <c r="J50" s="26"/>
      <c r="K50" s="26"/>
      <c r="L50" s="26"/>
      <c r="M50" s="26"/>
      <c r="N50" s="26"/>
      <c r="O50" s="26"/>
      <c r="P50" s="27"/>
      <c r="Q50" s="27"/>
      <c r="R50" s="26"/>
    </row>
  </sheetData>
  <mergeCells count="33">
    <mergeCell ref="R9:R10"/>
    <mergeCell ref="D11:D16"/>
    <mergeCell ref="E11:E16"/>
    <mergeCell ref="M9:M10"/>
    <mergeCell ref="N9:N10"/>
    <mergeCell ref="O9:O10"/>
    <mergeCell ref="P9:P10"/>
    <mergeCell ref="Q9:Q10"/>
    <mergeCell ref="A7:C7"/>
    <mergeCell ref="D7:F7"/>
    <mergeCell ref="I7:J7"/>
    <mergeCell ref="A9:A10"/>
    <mergeCell ref="B9:B10"/>
    <mergeCell ref="C9:C10"/>
    <mergeCell ref="D9:D10"/>
    <mergeCell ref="E9:E10"/>
    <mergeCell ref="F9:F10"/>
    <mergeCell ref="G9:G10"/>
    <mergeCell ref="H9:I9"/>
    <mergeCell ref="J9:L9"/>
    <mergeCell ref="A5:C5"/>
    <mergeCell ref="D5:F5"/>
    <mergeCell ref="I5:J5"/>
    <mergeCell ref="A6:C6"/>
    <mergeCell ref="D6:F6"/>
    <mergeCell ref="I6:J6"/>
    <mergeCell ref="A1:R1"/>
    <mergeCell ref="A2:R2"/>
    <mergeCell ref="A3:C3"/>
    <mergeCell ref="D3:F3"/>
    <mergeCell ref="A4:C4"/>
    <mergeCell ref="D4:F4"/>
    <mergeCell ref="I4:J4"/>
  </mergeCells>
  <conditionalFormatting sqref="A17:R50">
    <cfRule type="expression" dxfId="1" priority="2">
      <formula>OR($C17="Mini test",$C17="Big test")</formula>
    </cfRule>
    <cfRule type="expression" dxfId="0" priority="3">
      <formula>$P17&lt;&gt;""</formula>
    </cfRule>
  </conditionalFormatting>
  <dataValidations count="3">
    <dataValidation type="list" allowBlank="1" sqref="C11:C50" xr:uid="{00000000-0002-0000-0000-000000000000}">
      <formula1>"Học,Ôn tập,Mini test,Big test,Học bù"</formula1>
      <formula2>0</formula2>
    </dataValidation>
    <dataValidation type="list" allowBlank="1" sqref="P11:P50" xr:uid="{00000000-0002-0000-0000-000001000000}">
      <formula1>"Báo chuẩn bị Mini test,Báo chuẩn bị Big test,Báo syllabus chặng mới,Order in ấn mini test,Order in ấn big test"</formula1>
      <formula2>0</formula2>
    </dataValidation>
    <dataValidation type="list" allowBlank="1" sqref="Q11:Q50" xr:uid="{00000000-0002-0000-0000-000002000000}">
      <formula1>"Có,Không"</formula1>
      <formula2>0</formula2>
    </dataValidation>
  </dataValidations>
  <pageMargins left="0.75" right="0.75" top="1" bottom="1" header="0.511811023622047" footer="0.511811023622047"/>
  <pageSetup fitToHeight="0"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9"/>
  <sheetViews>
    <sheetView zoomScale="90" zoomScaleNormal="90" workbookViewId="0">
      <pane ySplit="6" topLeftCell="A7" activePane="bottomLeft" state="frozen"/>
      <selection pane="bottomLeft" activeCell="A6" sqref="A6"/>
    </sheetView>
  </sheetViews>
  <sheetFormatPr defaultColWidth="8.6328125" defaultRowHeight="14.5" x14ac:dyDescent="0.35"/>
  <cols>
    <col min="1" max="1" width="10" customWidth="1"/>
    <col min="2" max="2" width="22" customWidth="1"/>
    <col min="3" max="3" width="26" customWidth="1"/>
    <col min="4" max="4" width="40" customWidth="1"/>
    <col min="5" max="5" width="12" customWidth="1"/>
    <col min="6" max="6" width="22" customWidth="1"/>
    <col min="7" max="7" width="11" customWidth="1"/>
    <col min="8" max="8" width="24" customWidth="1"/>
    <col min="9" max="9" width="11" customWidth="1"/>
    <col min="10" max="10" width="10" customWidth="1"/>
    <col min="11" max="11" width="28" customWidth="1"/>
  </cols>
  <sheetData>
    <row r="1" spans="1:11" ht="25.5" customHeight="1" x14ac:dyDescent="0.35">
      <c r="A1" s="11" t="s">
        <v>82</v>
      </c>
      <c r="B1" s="11"/>
      <c r="C1" s="11"/>
      <c r="D1" s="11"/>
      <c r="E1" s="11"/>
      <c r="F1" s="11"/>
      <c r="G1" s="11"/>
      <c r="H1" s="11"/>
      <c r="I1" s="11"/>
      <c r="J1" s="11"/>
      <c r="K1" s="11"/>
    </row>
    <row r="2" spans="1:11" ht="15" customHeight="1" x14ac:dyDescent="0.35">
      <c r="A2" s="10" t="s">
        <v>83</v>
      </c>
      <c r="B2" s="10"/>
      <c r="C2" s="10"/>
      <c r="D2" s="10"/>
      <c r="E2" s="10"/>
      <c r="F2" s="10"/>
      <c r="G2" s="10"/>
      <c r="H2" s="10"/>
      <c r="I2" s="10"/>
      <c r="J2" s="10"/>
      <c r="K2" s="10"/>
    </row>
    <row r="3" spans="1:11" ht="15" customHeight="1" x14ac:dyDescent="0.35">
      <c r="A3" s="12" t="s">
        <v>84</v>
      </c>
      <c r="B3" s="3" t="s">
        <v>3</v>
      </c>
      <c r="C3" s="3"/>
      <c r="D3" s="3"/>
    </row>
    <row r="4" spans="1:11" ht="36" x14ac:dyDescent="0.35">
      <c r="A4" s="12" t="s">
        <v>85</v>
      </c>
      <c r="B4" s="28">
        <v>6</v>
      </c>
      <c r="C4" s="29" t="s">
        <v>86</v>
      </c>
    </row>
    <row r="6" spans="1:11" ht="31.5" customHeight="1" x14ac:dyDescent="0.35">
      <c r="A6" s="19" t="s">
        <v>15</v>
      </c>
      <c r="B6" s="19" t="s">
        <v>87</v>
      </c>
      <c r="C6" s="19" t="s">
        <v>88</v>
      </c>
      <c r="D6" s="19" t="s">
        <v>89</v>
      </c>
      <c r="E6" s="19" t="s">
        <v>90</v>
      </c>
      <c r="F6" s="19" t="s">
        <v>75</v>
      </c>
      <c r="G6" s="19" t="s">
        <v>91</v>
      </c>
      <c r="H6" s="19" t="s">
        <v>92</v>
      </c>
      <c r="I6" s="19" t="s">
        <v>93</v>
      </c>
      <c r="J6" s="19" t="s">
        <v>94</v>
      </c>
      <c r="K6" s="19" t="s">
        <v>29</v>
      </c>
    </row>
    <row r="7" spans="1:11" ht="30" customHeight="1" x14ac:dyDescent="0.35">
      <c r="A7" s="30" t="s">
        <v>35</v>
      </c>
      <c r="B7" s="31" t="s">
        <v>95</v>
      </c>
      <c r="C7" s="31" t="s">
        <v>37</v>
      </c>
      <c r="D7" s="31" t="s">
        <v>96</v>
      </c>
      <c r="E7" s="32">
        <v>5</v>
      </c>
      <c r="F7" s="31" t="s">
        <v>97</v>
      </c>
      <c r="G7" s="32">
        <v>1</v>
      </c>
      <c r="H7" s="31"/>
      <c r="I7" s="30">
        <v>0</v>
      </c>
      <c r="J7" s="30">
        <f t="shared" ref="J7:J14" si="0">E7+G7+I7</f>
        <v>6</v>
      </c>
      <c r="K7" s="31"/>
    </row>
    <row r="8" spans="1:11" ht="30" customHeight="1" x14ac:dyDescent="0.35">
      <c r="A8" s="30" t="s">
        <v>35</v>
      </c>
      <c r="B8" s="31" t="s">
        <v>95</v>
      </c>
      <c r="C8" s="31" t="s">
        <v>98</v>
      </c>
      <c r="D8" s="31" t="s">
        <v>99</v>
      </c>
      <c r="E8" s="32">
        <v>5</v>
      </c>
      <c r="F8" s="31" t="s">
        <v>100</v>
      </c>
      <c r="G8" s="32">
        <v>1</v>
      </c>
      <c r="H8" s="31"/>
      <c r="I8" s="30">
        <v>0</v>
      </c>
      <c r="J8" s="30">
        <f t="shared" si="0"/>
        <v>6</v>
      </c>
      <c r="K8" s="31"/>
    </row>
    <row r="9" spans="1:11" ht="30" customHeight="1" x14ac:dyDescent="0.35">
      <c r="A9" s="30" t="s">
        <v>35</v>
      </c>
      <c r="B9" s="31" t="s">
        <v>95</v>
      </c>
      <c r="C9" s="31" t="s">
        <v>101</v>
      </c>
      <c r="D9" s="31" t="s">
        <v>102</v>
      </c>
      <c r="E9" s="32">
        <v>5</v>
      </c>
      <c r="F9" s="31" t="s">
        <v>103</v>
      </c>
      <c r="G9" s="32">
        <v>1</v>
      </c>
      <c r="H9" s="31"/>
      <c r="I9" s="30">
        <v>0</v>
      </c>
      <c r="J9" s="30">
        <f t="shared" si="0"/>
        <v>6</v>
      </c>
      <c r="K9" s="31"/>
    </row>
    <row r="10" spans="1:11" ht="30" customHeight="1" x14ac:dyDescent="0.35">
      <c r="A10" s="33" t="s">
        <v>35</v>
      </c>
      <c r="B10" s="34" t="s">
        <v>95</v>
      </c>
      <c r="C10" s="34" t="s">
        <v>104</v>
      </c>
      <c r="D10" s="34" t="s">
        <v>105</v>
      </c>
      <c r="E10" s="33">
        <v>0</v>
      </c>
      <c r="F10" s="34"/>
      <c r="G10" s="33">
        <v>0</v>
      </c>
      <c r="H10" s="34" t="s">
        <v>106</v>
      </c>
      <c r="I10" s="35">
        <v>2</v>
      </c>
      <c r="J10" s="33">
        <f t="shared" si="0"/>
        <v>2</v>
      </c>
      <c r="K10" s="34" t="s">
        <v>107</v>
      </c>
    </row>
    <row r="11" spans="1:11" ht="30" customHeight="1" x14ac:dyDescent="0.35">
      <c r="A11" s="30" t="s">
        <v>108</v>
      </c>
      <c r="B11" s="31" t="s">
        <v>109</v>
      </c>
      <c r="C11" s="31" t="s">
        <v>110</v>
      </c>
      <c r="D11" s="31" t="s">
        <v>111</v>
      </c>
      <c r="E11" s="32">
        <v>5</v>
      </c>
      <c r="F11" s="31" t="s">
        <v>112</v>
      </c>
      <c r="G11" s="32">
        <v>1</v>
      </c>
      <c r="H11" s="31"/>
      <c r="I11" s="30">
        <v>0</v>
      </c>
      <c r="J11" s="30">
        <f t="shared" si="0"/>
        <v>6</v>
      </c>
      <c r="K11" s="31"/>
    </row>
    <row r="12" spans="1:11" ht="30" customHeight="1" x14ac:dyDescent="0.35">
      <c r="A12" s="30" t="s">
        <v>108</v>
      </c>
      <c r="B12" s="31" t="s">
        <v>109</v>
      </c>
      <c r="C12" s="31" t="s">
        <v>113</v>
      </c>
      <c r="D12" s="31" t="s">
        <v>114</v>
      </c>
      <c r="E12" s="32">
        <v>5</v>
      </c>
      <c r="F12" s="31" t="s">
        <v>115</v>
      </c>
      <c r="G12" s="32">
        <v>1</v>
      </c>
      <c r="H12" s="31"/>
      <c r="I12" s="30">
        <v>0</v>
      </c>
      <c r="J12" s="30">
        <f t="shared" si="0"/>
        <v>6</v>
      </c>
      <c r="K12" s="31"/>
    </row>
    <row r="13" spans="1:11" ht="30" customHeight="1" x14ac:dyDescent="0.35">
      <c r="A13" s="30" t="s">
        <v>108</v>
      </c>
      <c r="B13" s="31" t="s">
        <v>109</v>
      </c>
      <c r="C13" s="31" t="s">
        <v>116</v>
      </c>
      <c r="D13" s="31" t="s">
        <v>117</v>
      </c>
      <c r="E13" s="32">
        <v>5</v>
      </c>
      <c r="F13" s="31" t="s">
        <v>118</v>
      </c>
      <c r="G13" s="32">
        <v>1</v>
      </c>
      <c r="H13" s="31"/>
      <c r="I13" s="30">
        <v>0</v>
      </c>
      <c r="J13" s="30">
        <f t="shared" si="0"/>
        <v>6</v>
      </c>
      <c r="K13" s="31"/>
    </row>
    <row r="14" spans="1:11" ht="30" customHeight="1" x14ac:dyDescent="0.35">
      <c r="A14" s="33" t="s">
        <v>108</v>
      </c>
      <c r="B14" s="34" t="s">
        <v>109</v>
      </c>
      <c r="C14" s="34" t="s">
        <v>119</v>
      </c>
      <c r="D14" s="34" t="s">
        <v>120</v>
      </c>
      <c r="E14" s="33">
        <v>0</v>
      </c>
      <c r="F14" s="34"/>
      <c r="G14" s="33">
        <v>0</v>
      </c>
      <c r="H14" s="34" t="s">
        <v>121</v>
      </c>
      <c r="I14" s="35">
        <v>2</v>
      </c>
      <c r="J14" s="33">
        <f t="shared" si="0"/>
        <v>2</v>
      </c>
      <c r="K14" s="34" t="s">
        <v>107</v>
      </c>
    </row>
    <row r="15" spans="1:11" ht="30" customHeight="1" x14ac:dyDescent="0.35">
      <c r="A15" s="36"/>
      <c r="B15" s="37"/>
      <c r="C15" s="37"/>
      <c r="D15" s="37"/>
      <c r="E15" s="36"/>
      <c r="F15" s="37"/>
      <c r="G15" s="36"/>
      <c r="H15" s="37"/>
      <c r="I15" s="36"/>
      <c r="J15" s="38" t="str">
        <f t="shared" ref="J15:J22" si="1">IF(COUNTA(A15:I15)=0,"",E15+G15+I15)</f>
        <v/>
      </c>
      <c r="K15" s="39"/>
    </row>
    <row r="16" spans="1:11" ht="30" customHeight="1" x14ac:dyDescent="0.35">
      <c r="A16" s="36"/>
      <c r="B16" s="37"/>
      <c r="C16" s="37"/>
      <c r="D16" s="37"/>
      <c r="E16" s="36"/>
      <c r="F16" s="37"/>
      <c r="G16" s="36"/>
      <c r="H16" s="37"/>
      <c r="I16" s="36"/>
      <c r="J16" s="38" t="str">
        <f t="shared" si="1"/>
        <v/>
      </c>
      <c r="K16" s="39"/>
    </row>
    <row r="17" spans="1:11" ht="30" customHeight="1" x14ac:dyDescent="0.35">
      <c r="A17" s="36"/>
      <c r="B17" s="37"/>
      <c r="C17" s="37"/>
      <c r="D17" s="37"/>
      <c r="E17" s="36"/>
      <c r="F17" s="37"/>
      <c r="G17" s="36"/>
      <c r="H17" s="37"/>
      <c r="I17" s="36"/>
      <c r="J17" s="38" t="str">
        <f t="shared" si="1"/>
        <v/>
      </c>
      <c r="K17" s="39"/>
    </row>
    <row r="18" spans="1:11" ht="30" customHeight="1" x14ac:dyDescent="0.35">
      <c r="A18" s="36"/>
      <c r="B18" s="37"/>
      <c r="C18" s="37"/>
      <c r="D18" s="37"/>
      <c r="E18" s="36"/>
      <c r="F18" s="37"/>
      <c r="G18" s="36"/>
      <c r="H18" s="37"/>
      <c r="I18" s="36"/>
      <c r="J18" s="38" t="str">
        <f t="shared" si="1"/>
        <v/>
      </c>
      <c r="K18" s="39"/>
    </row>
    <row r="19" spans="1:11" ht="30" customHeight="1" x14ac:dyDescent="0.35">
      <c r="A19" s="36"/>
      <c r="B19" s="37"/>
      <c r="C19" s="37"/>
      <c r="D19" s="37"/>
      <c r="E19" s="36"/>
      <c r="F19" s="37"/>
      <c r="G19" s="36"/>
      <c r="H19" s="37"/>
      <c r="I19" s="36"/>
      <c r="J19" s="38" t="str">
        <f t="shared" si="1"/>
        <v/>
      </c>
      <c r="K19" s="39"/>
    </row>
    <row r="20" spans="1:11" ht="30" customHeight="1" x14ac:dyDescent="0.35">
      <c r="A20" s="36"/>
      <c r="B20" s="37"/>
      <c r="C20" s="37"/>
      <c r="D20" s="37"/>
      <c r="E20" s="36"/>
      <c r="F20" s="37"/>
      <c r="G20" s="36"/>
      <c r="H20" s="37"/>
      <c r="I20" s="36"/>
      <c r="J20" s="38" t="str">
        <f t="shared" si="1"/>
        <v/>
      </c>
      <c r="K20" s="39"/>
    </row>
    <row r="21" spans="1:11" ht="30" customHeight="1" x14ac:dyDescent="0.35">
      <c r="A21" s="36"/>
      <c r="B21" s="37"/>
      <c r="C21" s="37"/>
      <c r="D21" s="37"/>
      <c r="E21" s="36"/>
      <c r="F21" s="37"/>
      <c r="G21" s="36"/>
      <c r="H21" s="37"/>
      <c r="I21" s="36"/>
      <c r="J21" s="38" t="str">
        <f t="shared" si="1"/>
        <v/>
      </c>
      <c r="K21" s="39"/>
    </row>
    <row r="22" spans="1:11" ht="30" customHeight="1" x14ac:dyDescent="0.35">
      <c r="A22" s="36"/>
      <c r="B22" s="37"/>
      <c r="C22" s="37"/>
      <c r="D22" s="37"/>
      <c r="E22" s="36"/>
      <c r="F22" s="37"/>
      <c r="G22" s="36"/>
      <c r="H22" s="37"/>
      <c r="I22" s="36"/>
      <c r="J22" s="38" t="str">
        <f t="shared" si="1"/>
        <v/>
      </c>
      <c r="K22" s="39"/>
    </row>
    <row r="24" spans="1:11" ht="70" x14ac:dyDescent="0.35">
      <c r="A24" s="40" t="s">
        <v>122</v>
      </c>
    </row>
    <row r="25" spans="1:11" ht="31.5" customHeight="1" x14ac:dyDescent="0.35">
      <c r="A25" s="19" t="s">
        <v>15</v>
      </c>
      <c r="B25" s="19" t="s">
        <v>123</v>
      </c>
      <c r="C25" s="19" t="s">
        <v>124</v>
      </c>
      <c r="D25" s="19" t="s">
        <v>125</v>
      </c>
      <c r="E25" s="19" t="s">
        <v>126</v>
      </c>
      <c r="F25" s="19" t="s">
        <v>127</v>
      </c>
      <c r="G25" s="19" t="s">
        <v>128</v>
      </c>
    </row>
    <row r="26" spans="1:11" x14ac:dyDescent="0.35">
      <c r="A26" s="38" t="s">
        <v>35</v>
      </c>
      <c r="B26" s="38">
        <f>COUNTIFS($A$7:$A$22,A26,$F$7:$F$22,"Mini test*")</f>
        <v>3</v>
      </c>
      <c r="C26" s="38">
        <f>SUMIF($A$7:$A$22,A26,$E$7:$E$22)</f>
        <v>15</v>
      </c>
      <c r="D26" s="38">
        <f>COUNTIFS($A$7:$A$22,A26,$F$7:$F$22,"Mini test*")</f>
        <v>3</v>
      </c>
      <c r="E26" s="38">
        <f>SUMIF($A$7:$A$22,A26,$G$7:$G$22)+SUMIF($A$7:$A$22,A26,$I$7:$I$22)</f>
        <v>5</v>
      </c>
      <c r="F26" s="38">
        <f>C26+E26</f>
        <v>20</v>
      </c>
      <c r="G26" s="38">
        <f>IF(F26=0,"",MAX(1,F26-$B$4))</f>
        <v>14</v>
      </c>
    </row>
    <row r="27" spans="1:11" x14ac:dyDescent="0.35">
      <c r="A27" s="38" t="s">
        <v>108</v>
      </c>
      <c r="B27" s="38">
        <f>COUNTIFS($A$7:$A$22,A27,$F$7:$F$22,"Mini test*")</f>
        <v>3</v>
      </c>
      <c r="C27" s="38">
        <f>SUMIF($A$7:$A$22,A27,$E$7:$E$22)</f>
        <v>15</v>
      </c>
      <c r="D27" s="38">
        <f>COUNTIFS($A$7:$A$22,A27,$F$7:$F$22,"Mini test*")</f>
        <v>3</v>
      </c>
      <c r="E27" s="38">
        <f>SUMIF($A$7:$A$22,A27,$G$7:$G$22)+SUMIF($A$7:$A$22,A27,$I$7:$I$22)</f>
        <v>5</v>
      </c>
      <c r="F27" s="38">
        <f>C27+E27</f>
        <v>20</v>
      </c>
      <c r="G27" s="38">
        <f>IF(F27=0,"",MAX(1,F27-$B$4))</f>
        <v>14</v>
      </c>
    </row>
    <row r="28" spans="1:11" x14ac:dyDescent="0.35">
      <c r="A28" s="36" t="s">
        <v>129</v>
      </c>
      <c r="B28" s="38">
        <f>COUNTIFS($A$7:$A$22,A28,$F$7:$F$22,"Mini test*")</f>
        <v>0</v>
      </c>
      <c r="C28" s="38">
        <f>SUMIF($A$7:$A$22,A28,$E$7:$E$22)</f>
        <v>0</v>
      </c>
      <c r="D28" s="38">
        <f>COUNTIFS($A$7:$A$22,A28,$F$7:$F$22,"Mini test*")</f>
        <v>0</v>
      </c>
      <c r="E28" s="38">
        <f>SUMIF($A$7:$A$22,A28,$G$7:$G$22)+SUMIF($A$7:$A$22,A28,$I$7:$I$22)</f>
        <v>0</v>
      </c>
      <c r="F28" s="38">
        <f>C28+E28</f>
        <v>0</v>
      </c>
      <c r="G28" s="38" t="str">
        <f>IF(F28=0,"",MAX(1,F28-$B$4))</f>
        <v/>
      </c>
    </row>
    <row r="29" spans="1:11" x14ac:dyDescent="0.35">
      <c r="A29" s="41" t="s">
        <v>130</v>
      </c>
    </row>
  </sheetData>
  <mergeCells count="3">
    <mergeCell ref="A1:K1"/>
    <mergeCell ref="A2:K2"/>
    <mergeCell ref="B3:D3"/>
  </mergeCells>
  <dataValidations count="1">
    <dataValidation type="whole" allowBlank="1" sqref="E7:E22 G7:G22 I7:I22" xr:uid="{00000000-0002-0000-0100-000000000000}">
      <formula1>0</formula1>
      <formula2>40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0"/>
  <sheetViews>
    <sheetView zoomScale="90" zoomScaleNormal="90" workbookViewId="0">
      <pane ySplit="4" topLeftCell="A8" activePane="bottomLeft" state="frozen"/>
      <selection pane="bottomLeft" activeCell="A10" sqref="A10"/>
    </sheetView>
  </sheetViews>
  <sheetFormatPr defaultColWidth="8.6328125" defaultRowHeight="14.5" x14ac:dyDescent="0.35"/>
  <cols>
    <col min="1" max="1" width="7" customWidth="1"/>
    <col min="2" max="3" width="16" customWidth="1"/>
    <col min="4" max="5" width="46" customWidth="1"/>
    <col min="6" max="6" width="30" customWidth="1"/>
    <col min="7" max="7" width="36" customWidth="1"/>
  </cols>
  <sheetData>
    <row r="1" spans="1:7" ht="25.5" customHeight="1" x14ac:dyDescent="0.35">
      <c r="A1" s="11" t="s">
        <v>131</v>
      </c>
      <c r="B1" s="11"/>
      <c r="C1" s="11"/>
      <c r="D1" s="11"/>
      <c r="E1" s="11"/>
      <c r="F1" s="11"/>
      <c r="G1" s="11"/>
    </row>
    <row r="2" spans="1:7" ht="15" customHeight="1" x14ac:dyDescent="0.35">
      <c r="A2" s="10" t="s">
        <v>132</v>
      </c>
      <c r="B2" s="10"/>
      <c r="C2" s="10"/>
      <c r="D2" s="10"/>
      <c r="E2" s="10"/>
      <c r="F2" s="10"/>
      <c r="G2" s="10"/>
    </row>
    <row r="4" spans="1:7" x14ac:dyDescent="0.35">
      <c r="A4" s="19" t="s">
        <v>133</v>
      </c>
      <c r="B4" s="19" t="s">
        <v>134</v>
      </c>
      <c r="C4" s="19" t="s">
        <v>135</v>
      </c>
      <c r="D4" s="19" t="s">
        <v>136</v>
      </c>
      <c r="E4" s="19" t="s">
        <v>137</v>
      </c>
      <c r="F4" s="19" t="s">
        <v>138</v>
      </c>
      <c r="G4" s="19" t="s">
        <v>139</v>
      </c>
    </row>
    <row r="5" spans="1:7" ht="57.75" customHeight="1" x14ac:dyDescent="0.35">
      <c r="A5" s="42">
        <v>1</v>
      </c>
      <c r="B5" s="43" t="s">
        <v>140</v>
      </c>
      <c r="C5" s="43" t="s">
        <v>141</v>
      </c>
      <c r="D5" s="39" t="s">
        <v>142</v>
      </c>
      <c r="E5" s="39" t="s">
        <v>143</v>
      </c>
      <c r="F5" s="39" t="s">
        <v>144</v>
      </c>
      <c r="G5" s="44" t="s">
        <v>145</v>
      </c>
    </row>
    <row r="6" spans="1:7" ht="57.75" customHeight="1" x14ac:dyDescent="0.35">
      <c r="A6" s="42">
        <v>2</v>
      </c>
      <c r="B6" s="43" t="s">
        <v>140</v>
      </c>
      <c r="C6" s="43" t="s">
        <v>141</v>
      </c>
      <c r="D6" s="39" t="s">
        <v>146</v>
      </c>
      <c r="E6" s="39" t="s">
        <v>147</v>
      </c>
      <c r="F6" s="39" t="s">
        <v>148</v>
      </c>
      <c r="G6" s="44" t="s">
        <v>149</v>
      </c>
    </row>
    <row r="7" spans="1:7" ht="57.75" customHeight="1" x14ac:dyDescent="0.35">
      <c r="A7" s="42">
        <v>3</v>
      </c>
      <c r="B7" s="43" t="s">
        <v>150</v>
      </c>
      <c r="C7" s="43" t="s">
        <v>141</v>
      </c>
      <c r="D7" s="39" t="s">
        <v>151</v>
      </c>
      <c r="E7" s="39" t="s">
        <v>152</v>
      </c>
      <c r="F7" s="39" t="s">
        <v>153</v>
      </c>
      <c r="G7" s="44" t="s">
        <v>154</v>
      </c>
    </row>
    <row r="8" spans="1:7" ht="57.75" customHeight="1" x14ac:dyDescent="0.35">
      <c r="A8" s="42">
        <v>4</v>
      </c>
      <c r="B8" s="43" t="s">
        <v>150</v>
      </c>
      <c r="C8" s="43" t="s">
        <v>155</v>
      </c>
      <c r="D8" s="39" t="s">
        <v>156</v>
      </c>
      <c r="E8" s="39" t="s">
        <v>157</v>
      </c>
      <c r="F8" s="39" t="s">
        <v>158</v>
      </c>
      <c r="G8" s="44" t="s">
        <v>159</v>
      </c>
    </row>
    <row r="9" spans="1:7" ht="57.75" customHeight="1" x14ac:dyDescent="0.35">
      <c r="A9" s="42">
        <v>5</v>
      </c>
      <c r="B9" s="43" t="s">
        <v>160</v>
      </c>
      <c r="C9" s="43" t="s">
        <v>141</v>
      </c>
      <c r="D9" s="39" t="s">
        <v>161</v>
      </c>
      <c r="E9" s="39" t="s">
        <v>162</v>
      </c>
      <c r="F9" s="39" t="s">
        <v>163</v>
      </c>
      <c r="G9" s="44" t="s">
        <v>164</v>
      </c>
    </row>
    <row r="10" spans="1:7" ht="57.75" customHeight="1" x14ac:dyDescent="0.35">
      <c r="A10" s="42">
        <v>6</v>
      </c>
      <c r="B10" s="43" t="s">
        <v>165</v>
      </c>
      <c r="C10" s="43" t="s">
        <v>155</v>
      </c>
      <c r="D10" s="39" t="s">
        <v>166</v>
      </c>
      <c r="E10" s="39" t="s">
        <v>167</v>
      </c>
      <c r="F10" s="39" t="s">
        <v>168</v>
      </c>
      <c r="G10" s="44" t="s">
        <v>169</v>
      </c>
    </row>
    <row r="11" spans="1:7" ht="57.75" customHeight="1" x14ac:dyDescent="0.35">
      <c r="A11" s="42">
        <v>7</v>
      </c>
      <c r="B11" s="43" t="s">
        <v>165</v>
      </c>
      <c r="C11" s="43" t="s">
        <v>155</v>
      </c>
      <c r="D11" s="39" t="s">
        <v>170</v>
      </c>
      <c r="E11" s="39" t="s">
        <v>171</v>
      </c>
      <c r="F11" s="39" t="s">
        <v>172</v>
      </c>
      <c r="G11" s="44" t="s">
        <v>173</v>
      </c>
    </row>
    <row r="12" spans="1:7" ht="57.75" customHeight="1" x14ac:dyDescent="0.35">
      <c r="A12" s="42">
        <v>8</v>
      </c>
      <c r="B12" s="43" t="s">
        <v>174</v>
      </c>
      <c r="C12" s="43" t="s">
        <v>175</v>
      </c>
      <c r="D12" s="39" t="s">
        <v>176</v>
      </c>
      <c r="E12" s="39" t="s">
        <v>177</v>
      </c>
      <c r="F12" s="39" t="s">
        <v>178</v>
      </c>
      <c r="G12" s="39"/>
    </row>
    <row r="13" spans="1:7" ht="57.75" customHeight="1" x14ac:dyDescent="0.35">
      <c r="A13" s="42">
        <v>9</v>
      </c>
      <c r="B13" s="43" t="s">
        <v>179</v>
      </c>
      <c r="C13" s="43" t="s">
        <v>141</v>
      </c>
      <c r="D13" s="39" t="s">
        <v>180</v>
      </c>
      <c r="E13" s="39" t="s">
        <v>181</v>
      </c>
      <c r="F13" s="39" t="s">
        <v>182</v>
      </c>
      <c r="G13" s="44" t="s">
        <v>183</v>
      </c>
    </row>
    <row r="14" spans="1:7" ht="57.75" customHeight="1" x14ac:dyDescent="0.35">
      <c r="A14" s="42">
        <v>10</v>
      </c>
      <c r="B14" s="43" t="s">
        <v>184</v>
      </c>
      <c r="C14" s="43" t="s">
        <v>141</v>
      </c>
      <c r="D14" s="39" t="s">
        <v>185</v>
      </c>
      <c r="E14" s="39" t="s">
        <v>186</v>
      </c>
      <c r="F14" s="39" t="s">
        <v>187</v>
      </c>
      <c r="G14" s="39"/>
    </row>
    <row r="15" spans="1:7" ht="57.75" customHeight="1" x14ac:dyDescent="0.35">
      <c r="A15" s="42">
        <v>11</v>
      </c>
      <c r="B15" s="43" t="s">
        <v>188</v>
      </c>
      <c r="C15" s="43" t="s">
        <v>141</v>
      </c>
      <c r="D15" s="39" t="s">
        <v>189</v>
      </c>
      <c r="E15" s="39" t="s">
        <v>190</v>
      </c>
      <c r="F15" s="39" t="s">
        <v>191</v>
      </c>
      <c r="G15" s="39"/>
    </row>
    <row r="18" spans="1:7" ht="70" x14ac:dyDescent="0.35">
      <c r="A18" s="40" t="s">
        <v>192</v>
      </c>
    </row>
    <row r="19" spans="1:7" ht="23.9" customHeight="1" x14ac:dyDescent="0.35">
      <c r="B19" s="19" t="s">
        <v>193</v>
      </c>
      <c r="C19" s="19" t="s">
        <v>194</v>
      </c>
      <c r="D19" s="6" t="s">
        <v>195</v>
      </c>
      <c r="E19" s="6"/>
      <c r="F19" s="6"/>
      <c r="G19" s="6"/>
    </row>
    <row r="20" spans="1:7" ht="15" customHeight="1" x14ac:dyDescent="0.35">
      <c r="B20" s="45" t="s">
        <v>141</v>
      </c>
      <c r="C20" s="39" t="s">
        <v>196</v>
      </c>
      <c r="D20" s="2" t="s">
        <v>197</v>
      </c>
      <c r="E20" s="2"/>
      <c r="F20" s="2"/>
      <c r="G20" s="2"/>
    </row>
    <row r="21" spans="1:7" ht="15" customHeight="1" x14ac:dyDescent="0.35">
      <c r="B21" s="45" t="s">
        <v>141</v>
      </c>
      <c r="C21" s="39" t="s">
        <v>150</v>
      </c>
      <c r="D21" s="2" t="s">
        <v>198</v>
      </c>
      <c r="E21" s="2"/>
      <c r="F21" s="2"/>
      <c r="G21" s="2"/>
    </row>
    <row r="22" spans="1:7" ht="15" customHeight="1" x14ac:dyDescent="0.35">
      <c r="B22" s="45" t="s">
        <v>141</v>
      </c>
      <c r="C22" s="39" t="s">
        <v>199</v>
      </c>
      <c r="D22" s="2" t="s">
        <v>200</v>
      </c>
      <c r="E22" s="2"/>
      <c r="F22" s="2"/>
      <c r="G22" s="2"/>
    </row>
    <row r="23" spans="1:7" ht="15" customHeight="1" x14ac:dyDescent="0.35">
      <c r="B23" s="45" t="s">
        <v>141</v>
      </c>
      <c r="C23" s="39" t="s">
        <v>201</v>
      </c>
      <c r="D23" s="2" t="s">
        <v>202</v>
      </c>
      <c r="E23" s="2"/>
      <c r="F23" s="2"/>
      <c r="G23" s="2"/>
    </row>
    <row r="24" spans="1:7" ht="15" customHeight="1" x14ac:dyDescent="0.35">
      <c r="B24" s="45" t="s">
        <v>141</v>
      </c>
      <c r="C24" s="39" t="s">
        <v>203</v>
      </c>
      <c r="D24" s="2" t="s">
        <v>204</v>
      </c>
      <c r="E24" s="2"/>
      <c r="F24" s="2"/>
      <c r="G24" s="2"/>
    </row>
    <row r="25" spans="1:7" ht="15" customHeight="1" x14ac:dyDescent="0.35">
      <c r="B25" s="45" t="s">
        <v>141</v>
      </c>
      <c r="C25" s="39" t="s">
        <v>187</v>
      </c>
      <c r="D25" s="2" t="s">
        <v>205</v>
      </c>
      <c r="E25" s="2"/>
      <c r="F25" s="2"/>
      <c r="G25" s="2"/>
    </row>
    <row r="26" spans="1:7" ht="15" customHeight="1" x14ac:dyDescent="0.35">
      <c r="B26" s="45" t="s">
        <v>155</v>
      </c>
      <c r="C26" s="39" t="s">
        <v>206</v>
      </c>
      <c r="D26" s="2" t="s">
        <v>207</v>
      </c>
      <c r="E26" s="2"/>
      <c r="F26" s="2"/>
      <c r="G26" s="2"/>
    </row>
    <row r="27" spans="1:7" ht="15" customHeight="1" x14ac:dyDescent="0.35">
      <c r="B27" s="45" t="s">
        <v>155</v>
      </c>
      <c r="C27" s="39" t="s">
        <v>201</v>
      </c>
      <c r="D27" s="2" t="s">
        <v>208</v>
      </c>
      <c r="E27" s="2"/>
      <c r="F27" s="2"/>
      <c r="G27" s="2"/>
    </row>
    <row r="28" spans="1:7" ht="15" customHeight="1" x14ac:dyDescent="0.35">
      <c r="B28" s="45" t="s">
        <v>155</v>
      </c>
      <c r="C28" s="39" t="s">
        <v>209</v>
      </c>
      <c r="D28" s="2" t="s">
        <v>210</v>
      </c>
      <c r="E28" s="2"/>
      <c r="F28" s="2"/>
      <c r="G28" s="2"/>
    </row>
    <row r="29" spans="1:7" ht="15" customHeight="1" x14ac:dyDescent="0.35">
      <c r="B29" s="45" t="s">
        <v>155</v>
      </c>
      <c r="C29" s="39" t="s">
        <v>211</v>
      </c>
      <c r="D29" s="2" t="s">
        <v>212</v>
      </c>
      <c r="E29" s="2"/>
      <c r="F29" s="2"/>
      <c r="G29" s="2"/>
    </row>
    <row r="30" spans="1:7" ht="23.9" customHeight="1" x14ac:dyDescent="0.35">
      <c r="B30" s="45" t="s">
        <v>213</v>
      </c>
      <c r="C30" s="39" t="s">
        <v>214</v>
      </c>
      <c r="D30" s="2" t="s">
        <v>215</v>
      </c>
      <c r="E30" s="2"/>
      <c r="F30" s="2"/>
      <c r="G30" s="2"/>
    </row>
    <row r="33" spans="1:7" ht="70" x14ac:dyDescent="0.35">
      <c r="A33" s="40" t="s">
        <v>216</v>
      </c>
    </row>
    <row r="34" spans="1:7" ht="15" customHeight="1" x14ac:dyDescent="0.35">
      <c r="B34" s="19" t="s">
        <v>217</v>
      </c>
      <c r="C34" s="19" t="s">
        <v>218</v>
      </c>
      <c r="D34" s="19" t="s">
        <v>219</v>
      </c>
      <c r="E34" s="19" t="s">
        <v>220</v>
      </c>
      <c r="F34" s="6" t="s">
        <v>221</v>
      </c>
      <c r="G34" s="6"/>
    </row>
    <row r="35" spans="1:7" ht="31.5" customHeight="1" x14ac:dyDescent="0.35">
      <c r="B35" s="39" t="s">
        <v>222</v>
      </c>
      <c r="C35" s="39" t="s">
        <v>155</v>
      </c>
      <c r="D35" s="39" t="s">
        <v>223</v>
      </c>
      <c r="E35" s="39" t="s">
        <v>224</v>
      </c>
      <c r="F35" s="1" t="s">
        <v>225</v>
      </c>
      <c r="G35" s="1"/>
    </row>
    <row r="36" spans="1:7" ht="31.5" customHeight="1" x14ac:dyDescent="0.35">
      <c r="B36" s="39" t="s">
        <v>226</v>
      </c>
      <c r="C36" s="39" t="s">
        <v>155</v>
      </c>
      <c r="D36" s="39" t="s">
        <v>227</v>
      </c>
      <c r="E36" s="39" t="s">
        <v>228</v>
      </c>
      <c r="F36" s="1" t="s">
        <v>229</v>
      </c>
      <c r="G36" s="1"/>
    </row>
    <row r="37" spans="1:7" ht="31.5" customHeight="1" x14ac:dyDescent="0.35">
      <c r="B37" s="39" t="s">
        <v>230</v>
      </c>
      <c r="C37" s="39" t="s">
        <v>231</v>
      </c>
      <c r="D37" s="39" t="s">
        <v>232</v>
      </c>
      <c r="E37" s="39" t="s">
        <v>233</v>
      </c>
      <c r="F37" s="1" t="s">
        <v>234</v>
      </c>
      <c r="G37" s="1"/>
    </row>
    <row r="38" spans="1:7" ht="31.5" customHeight="1" x14ac:dyDescent="0.35">
      <c r="B38" s="39" t="s">
        <v>235</v>
      </c>
      <c r="C38" s="39" t="s">
        <v>141</v>
      </c>
      <c r="D38" s="39" t="s">
        <v>236</v>
      </c>
      <c r="E38" s="39" t="s">
        <v>237</v>
      </c>
      <c r="F38" s="1" t="s">
        <v>238</v>
      </c>
      <c r="G38" s="1"/>
    </row>
    <row r="39" spans="1:7" ht="31.5" customHeight="1" x14ac:dyDescent="0.35">
      <c r="B39" s="39" t="s">
        <v>239</v>
      </c>
      <c r="C39" s="39" t="s">
        <v>155</v>
      </c>
      <c r="D39" s="39" t="s">
        <v>240</v>
      </c>
      <c r="E39" s="39" t="s">
        <v>241</v>
      </c>
      <c r="F39" s="1" t="s">
        <v>242</v>
      </c>
      <c r="G39" s="1"/>
    </row>
    <row r="40" spans="1:7" ht="31.5" customHeight="1" x14ac:dyDescent="0.35">
      <c r="B40" s="39" t="s">
        <v>243</v>
      </c>
      <c r="C40" s="39" t="s">
        <v>244</v>
      </c>
      <c r="D40" s="39" t="s">
        <v>245</v>
      </c>
      <c r="E40" s="39" t="s">
        <v>246</v>
      </c>
      <c r="F40" s="1" t="s">
        <v>247</v>
      </c>
      <c r="G40" s="1"/>
    </row>
  </sheetData>
  <mergeCells count="21">
    <mergeCell ref="F40:G40"/>
    <mergeCell ref="F35:G35"/>
    <mergeCell ref="F36:G36"/>
    <mergeCell ref="F37:G37"/>
    <mergeCell ref="F38:G38"/>
    <mergeCell ref="F39:G39"/>
    <mergeCell ref="D27:G27"/>
    <mergeCell ref="D28:G28"/>
    <mergeCell ref="D29:G29"/>
    <mergeCell ref="D30:G30"/>
    <mergeCell ref="F34:G34"/>
    <mergeCell ref="D22:G22"/>
    <mergeCell ref="D23:G23"/>
    <mergeCell ref="D24:G24"/>
    <mergeCell ref="D25:G25"/>
    <mergeCell ref="D26:G26"/>
    <mergeCell ref="A1:G1"/>
    <mergeCell ref="A2:G2"/>
    <mergeCell ref="D19:G19"/>
    <mergeCell ref="D20:G20"/>
    <mergeCell ref="D21:G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zoomScale="90" zoomScaleNormal="90" workbookViewId="0">
      <pane ySplit="4" topLeftCell="A5" activePane="bottomLeft" state="frozen"/>
      <selection pane="bottomLeft" sqref="A1:D1"/>
    </sheetView>
  </sheetViews>
  <sheetFormatPr defaultColWidth="8.6328125" defaultRowHeight="14.5" x14ac:dyDescent="0.35"/>
  <cols>
    <col min="1" max="1" width="6" customWidth="1"/>
    <col min="2" max="2" width="70" customWidth="1"/>
    <col min="3" max="3" width="50" customWidth="1"/>
    <col min="4" max="4" width="18" customWidth="1"/>
  </cols>
  <sheetData>
    <row r="1" spans="1:4" ht="25.5" customHeight="1" x14ac:dyDescent="0.35">
      <c r="A1" s="11" t="s">
        <v>248</v>
      </c>
      <c r="B1" s="11"/>
      <c r="C1" s="11"/>
      <c r="D1" s="11"/>
    </row>
    <row r="2" spans="1:4" ht="15" customHeight="1" x14ac:dyDescent="0.35">
      <c r="A2" s="10" t="s">
        <v>249</v>
      </c>
      <c r="B2" s="10"/>
      <c r="C2" s="10"/>
      <c r="D2" s="10"/>
    </row>
    <row r="4" spans="1:4" x14ac:dyDescent="0.35">
      <c r="A4" s="19" t="s">
        <v>250</v>
      </c>
      <c r="B4" s="19" t="s">
        <v>251</v>
      </c>
      <c r="C4" s="19" t="s">
        <v>252</v>
      </c>
      <c r="D4" s="19" t="s">
        <v>253</v>
      </c>
    </row>
    <row r="5" spans="1:4" ht="43.5" customHeight="1" x14ac:dyDescent="0.35">
      <c r="A5" s="38">
        <v>1</v>
      </c>
      <c r="B5" s="39" t="s">
        <v>254</v>
      </c>
      <c r="C5" s="37" t="s">
        <v>277</v>
      </c>
      <c r="D5" s="38" t="s">
        <v>255</v>
      </c>
    </row>
    <row r="6" spans="1:4" ht="58.5" customHeight="1" x14ac:dyDescent="0.35">
      <c r="A6" s="38">
        <v>2</v>
      </c>
      <c r="B6" s="39" t="s">
        <v>256</v>
      </c>
      <c r="C6" s="37" t="s">
        <v>278</v>
      </c>
      <c r="D6" s="38" t="s">
        <v>257</v>
      </c>
    </row>
    <row r="7" spans="1:4" ht="57.5" customHeight="1" x14ac:dyDescent="0.35">
      <c r="A7" s="38">
        <v>3</v>
      </c>
      <c r="B7" s="39" t="s">
        <v>258</v>
      </c>
      <c r="C7" s="37" t="s">
        <v>279</v>
      </c>
      <c r="D7" s="38" t="s">
        <v>259</v>
      </c>
    </row>
    <row r="8" spans="1:4" ht="43.5" customHeight="1" x14ac:dyDescent="0.35">
      <c r="A8" s="38">
        <v>4</v>
      </c>
      <c r="B8" s="39" t="s">
        <v>260</v>
      </c>
      <c r="C8" s="37" t="s">
        <v>280</v>
      </c>
      <c r="D8" s="38" t="s">
        <v>261</v>
      </c>
    </row>
    <row r="9" spans="1:4" ht="55.5" customHeight="1" x14ac:dyDescent="0.35">
      <c r="A9" s="38">
        <v>5</v>
      </c>
      <c r="B9" s="39" t="s">
        <v>262</v>
      </c>
      <c r="C9" s="37" t="s">
        <v>281</v>
      </c>
      <c r="D9" s="38" t="s">
        <v>263</v>
      </c>
    </row>
    <row r="10" spans="1:4" ht="43.5" customHeight="1" x14ac:dyDescent="0.35">
      <c r="A10" s="38">
        <v>6</v>
      </c>
      <c r="B10" s="39" t="s">
        <v>264</v>
      </c>
      <c r="C10" s="37" t="s">
        <v>282</v>
      </c>
      <c r="D10" s="38" t="s">
        <v>265</v>
      </c>
    </row>
    <row r="11" spans="1:4" ht="43.5" customHeight="1" x14ac:dyDescent="0.35">
      <c r="A11" s="38">
        <v>7</v>
      </c>
      <c r="B11" s="39" t="s">
        <v>266</v>
      </c>
      <c r="C11" s="37" t="s">
        <v>283</v>
      </c>
      <c r="D11" s="38" t="s">
        <v>267</v>
      </c>
    </row>
    <row r="12" spans="1:4" ht="43.5" customHeight="1" x14ac:dyDescent="0.35">
      <c r="A12" s="38">
        <v>8</v>
      </c>
      <c r="B12" s="39" t="s">
        <v>268</v>
      </c>
      <c r="C12" s="37" t="s">
        <v>284</v>
      </c>
      <c r="D12" s="38" t="s">
        <v>269</v>
      </c>
    </row>
    <row r="13" spans="1:4" ht="43.5" customHeight="1" x14ac:dyDescent="0.35">
      <c r="A13" s="38">
        <v>9</v>
      </c>
      <c r="B13" s="39" t="s">
        <v>270</v>
      </c>
      <c r="C13" s="37" t="s">
        <v>285</v>
      </c>
      <c r="D13" s="38" t="s">
        <v>271</v>
      </c>
    </row>
    <row r="14" spans="1:4" ht="43.5" customHeight="1" x14ac:dyDescent="0.35">
      <c r="A14" s="38">
        <v>10</v>
      </c>
      <c r="B14" s="39" t="s">
        <v>272</v>
      </c>
      <c r="C14" s="37" t="s">
        <v>286</v>
      </c>
      <c r="D14" s="38" t="s">
        <v>273</v>
      </c>
    </row>
    <row r="15" spans="1:4" ht="43.5" customHeight="1" x14ac:dyDescent="0.35">
      <c r="A15" s="38">
        <v>11</v>
      </c>
      <c r="B15" s="39" t="s">
        <v>274</v>
      </c>
      <c r="C15" s="37" t="s">
        <v>287</v>
      </c>
      <c r="D15" s="38" t="s">
        <v>275</v>
      </c>
    </row>
    <row r="16" spans="1:4" ht="43.5" customHeight="1" x14ac:dyDescent="0.35">
      <c r="A16" s="38">
        <v>12</v>
      </c>
      <c r="B16" s="39" t="s">
        <v>276</v>
      </c>
      <c r="C16" s="37" t="s">
        <v>288</v>
      </c>
      <c r="D16" s="38" t="s">
        <v>275</v>
      </c>
    </row>
  </sheetData>
  <mergeCells count="2">
    <mergeCell ref="A1:D1"/>
    <mergeCell ref="A2:D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1. Syllabus mẫu</vt:lpstr>
      <vt:lpstr>2. Chia chặng &amp; Test</vt:lpstr>
      <vt:lpstr>3. Quy trình xử lý</vt:lpstr>
      <vt:lpstr>4. Câu hỏi cần làm rõ</vt:lpstr>
      <vt:lpstr>'1. Syllabus mẫu'!Print_Titles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ADMIN</cp:lastModifiedBy>
  <cp:revision>0</cp:revision>
  <dcterms:created xsi:type="dcterms:W3CDTF">2026-10-23T08:09:55Z</dcterms:created>
  <dcterms:modified xsi:type="dcterms:W3CDTF">2026-10-23T08:29:44Z</dcterms:modified>
  <dc:language>en-US</dc:language>
</cp:coreProperties>
</file>